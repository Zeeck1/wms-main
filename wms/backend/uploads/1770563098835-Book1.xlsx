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e khant aung\Downloads\"/>
    </mc:Choice>
  </mc:AlternateContent>
  <xr:revisionPtr revIDLastSave="0" documentId="13_ncr:1_{5303F217-6BC6-4FFE-B737-768DD6B4AEC4}" xr6:coauthVersionLast="47" xr6:coauthVersionMax="47" xr10:uidLastSave="{00000000-0000-0000-0000-000000000000}"/>
  <bookViews>
    <workbookView xWindow="-108" yWindow="-108" windowWidth="23256" windowHeight="12576" xr2:uid="{97DAA6CE-2DA5-4DF4-A95D-05B6007DA36D}"/>
  </bookViews>
  <sheets>
    <sheet name="FORM-3-STOCKS" sheetId="2" r:id="rId1"/>
    <sheet name="Sheet1" sheetId="1" r:id="rId2"/>
  </sheets>
  <definedNames>
    <definedName name="DepreciationMethods" localSheetId="0">#REF!</definedName>
    <definedName name="DepreciationMethods">#REF!</definedName>
    <definedName name="_xlnm.Print_Area" localSheetId="0">Data4[[#All],[Fish Name]:[Hand - on Balance]]</definedName>
    <definedName name="_xlnm.Print_Titles" localSheetId="0">'FORM-3-STOCKS'!$3:$3</definedName>
    <definedName name="RowTitleRegion1..C2" localSheetId="0">'FORM-3-STOCKS'!$B$2</definedName>
    <definedName name="RowTitleRegion1..C2">#REF!</definedName>
    <definedName name="S" localSheetId="0">#REF!</definedName>
    <definedName name="S">#REF!</definedName>
    <definedName name="SDSDS" localSheetId="0">Data4[[#Headers],[Fish Name]]</definedName>
    <definedName name="SDSDS">#REF!</definedName>
    <definedName name="Title1" localSheetId="0">Data4[[#Headers],[Fish Name]]</definedName>
    <definedName name="Title1">#REF!</definedName>
    <definedName name="Title2" localSheetId="0">#REF!</definedName>
    <definedName name="Title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8" i="2" l="1"/>
  <c r="P38" i="2" s="1"/>
  <c r="O160" i="2"/>
  <c r="Q159" i="2"/>
  <c r="P159" i="2"/>
  <c r="R159" i="2" s="1"/>
  <c r="E159" i="2"/>
  <c r="Q158" i="2"/>
  <c r="P158" i="2"/>
  <c r="E158" i="2"/>
  <c r="Q157" i="2"/>
  <c r="P157" i="2"/>
  <c r="Q156" i="2"/>
  <c r="P156" i="2"/>
  <c r="R156" i="2" s="1"/>
  <c r="E156" i="2" s="1"/>
  <c r="Q155" i="2"/>
  <c r="P155" i="2"/>
  <c r="R155" i="2" s="1"/>
  <c r="E155" i="2" s="1"/>
  <c r="Q154" i="2"/>
  <c r="P154" i="2"/>
  <c r="R154" i="2" s="1"/>
  <c r="E154" i="2" s="1"/>
  <c r="Q153" i="2"/>
  <c r="P153" i="2"/>
  <c r="Q152" i="2"/>
  <c r="P152" i="2"/>
  <c r="Q151" i="2"/>
  <c r="P151" i="2"/>
  <c r="Q150" i="2"/>
  <c r="P150" i="2"/>
  <c r="Q149" i="2"/>
  <c r="P149" i="2"/>
  <c r="Q148" i="2"/>
  <c r="P148" i="2"/>
  <c r="R148" i="2" s="1"/>
  <c r="E148" i="2" s="1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R139" i="2" s="1"/>
  <c r="E139" i="2" s="1"/>
  <c r="Q138" i="2"/>
  <c r="P138" i="2"/>
  <c r="Q137" i="2"/>
  <c r="P137" i="2"/>
  <c r="Q136" i="2"/>
  <c r="P136" i="2"/>
  <c r="R136" i="2" s="1"/>
  <c r="E136" i="2" s="1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R118" i="2" s="1"/>
  <c r="E118" i="2" s="1"/>
  <c r="Q117" i="2"/>
  <c r="P117" i="2"/>
  <c r="Q116" i="2"/>
  <c r="P116" i="2"/>
  <c r="E116" i="2"/>
  <c r="Q115" i="2"/>
  <c r="R115" i="2" s="1"/>
  <c r="E115" i="2" s="1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R79" i="2" s="1"/>
  <c r="E79" i="2" s="1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R49" i="2" s="1"/>
  <c r="E49" i="2" s="1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E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R13" i="2" s="1"/>
  <c r="E13" i="2" s="1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R6" i="2" s="1"/>
  <c r="E6" i="2" s="1"/>
  <c r="Q5" i="2"/>
  <c r="P5" i="2"/>
  <c r="Q4" i="2"/>
  <c r="P4" i="2"/>
  <c r="R60" i="2" l="1"/>
  <c r="E60" i="2" s="1"/>
  <c r="R5" i="2"/>
  <c r="E5" i="2" s="1"/>
  <c r="R11" i="2"/>
  <c r="E11" i="2" s="1"/>
  <c r="R41" i="2"/>
  <c r="E41" i="2" s="1"/>
  <c r="R53" i="2"/>
  <c r="E53" i="2" s="1"/>
  <c r="R65" i="2"/>
  <c r="E65" i="2" s="1"/>
  <c r="R101" i="2"/>
  <c r="E101" i="2" s="1"/>
  <c r="R63" i="2"/>
  <c r="E63" i="2" s="1"/>
  <c r="R87" i="2"/>
  <c r="E87" i="2" s="1"/>
  <c r="R158" i="2"/>
  <c r="R113" i="2"/>
  <c r="E113" i="2" s="1"/>
  <c r="R12" i="2"/>
  <c r="E12" i="2" s="1"/>
  <c r="R30" i="2"/>
  <c r="E30" i="2" s="1"/>
  <c r="R42" i="2"/>
  <c r="E42" i="2" s="1"/>
  <c r="R43" i="2"/>
  <c r="E43" i="2" s="1"/>
  <c r="R21" i="2"/>
  <c r="R44" i="2"/>
  <c r="E44" i="2" s="1"/>
  <c r="R74" i="2"/>
  <c r="E74" i="2" s="1"/>
  <c r="R4" i="2"/>
  <c r="M160" i="2" s="1"/>
  <c r="R10" i="2"/>
  <c r="E10" i="2" s="1"/>
  <c r="R39" i="2"/>
  <c r="E39" i="2" s="1"/>
  <c r="R152" i="2"/>
  <c r="E152" i="2" s="1"/>
  <c r="R93" i="2"/>
  <c r="E93" i="2" s="1"/>
  <c r="R52" i="2"/>
  <c r="E52" i="2" s="1"/>
  <c r="R88" i="2"/>
  <c r="E88" i="2" s="1"/>
  <c r="R100" i="2"/>
  <c r="E100" i="2" s="1"/>
  <c r="R112" i="2"/>
  <c r="E112" i="2" s="1"/>
  <c r="R117" i="2"/>
  <c r="E117" i="2" s="1"/>
  <c r="R25" i="2"/>
  <c r="E25" i="2" s="1"/>
  <c r="R31" i="2"/>
  <c r="E31" i="2" s="1"/>
  <c r="R102" i="2"/>
  <c r="E102" i="2" s="1"/>
  <c r="R108" i="2"/>
  <c r="E108" i="2" s="1"/>
  <c r="R38" i="2"/>
  <c r="E38" i="2" s="1"/>
  <c r="R33" i="2"/>
  <c r="E33" i="2" s="1"/>
  <c r="R145" i="2"/>
  <c r="E145" i="2" s="1"/>
  <c r="R16" i="2"/>
  <c r="E16" i="2" s="1"/>
  <c r="R22" i="2"/>
  <c r="E22" i="2" s="1"/>
  <c r="R28" i="2"/>
  <c r="E28" i="2" s="1"/>
  <c r="R86" i="2"/>
  <c r="E86" i="2" s="1"/>
  <c r="R98" i="2"/>
  <c r="E98" i="2" s="1"/>
  <c r="R104" i="2"/>
  <c r="E104" i="2" s="1"/>
  <c r="R110" i="2"/>
  <c r="E110" i="2" s="1"/>
  <c r="R157" i="2"/>
  <c r="E157" i="2" s="1"/>
  <c r="R35" i="2"/>
  <c r="E35" i="2" s="1"/>
  <c r="R69" i="2"/>
  <c r="E69" i="2" s="1"/>
  <c r="R99" i="2"/>
  <c r="E99" i="2" s="1"/>
  <c r="R111" i="2"/>
  <c r="E111" i="2" s="1"/>
  <c r="R122" i="2"/>
  <c r="E122" i="2" s="1"/>
  <c r="R134" i="2"/>
  <c r="E134" i="2" s="1"/>
  <c r="R146" i="2"/>
  <c r="E146" i="2" s="1"/>
  <c r="R64" i="2"/>
  <c r="E64" i="2" s="1"/>
  <c r="R70" i="2"/>
  <c r="E70" i="2" s="1"/>
  <c r="R76" i="2"/>
  <c r="E76" i="2" s="1"/>
  <c r="R20" i="2"/>
  <c r="E20" i="2" s="1"/>
  <c r="R72" i="2"/>
  <c r="E72" i="2" s="1"/>
  <c r="R84" i="2"/>
  <c r="E84" i="2" s="1"/>
  <c r="R61" i="2"/>
  <c r="E61" i="2" s="1"/>
  <c r="R73" i="2"/>
  <c r="E73" i="2" s="1"/>
  <c r="R85" i="2"/>
  <c r="E85" i="2" s="1"/>
  <c r="R97" i="2"/>
  <c r="E97" i="2" s="1"/>
  <c r="R129" i="2"/>
  <c r="E129" i="2" s="1"/>
  <c r="R135" i="2"/>
  <c r="E135" i="2" s="1"/>
  <c r="R141" i="2"/>
  <c r="E141" i="2" s="1"/>
  <c r="R55" i="2"/>
  <c r="E55" i="2" s="1"/>
  <c r="R153" i="2"/>
  <c r="E153" i="2" s="1"/>
  <c r="R130" i="2"/>
  <c r="E130" i="2" s="1"/>
  <c r="R40" i="2"/>
  <c r="E40" i="2" s="1"/>
  <c r="R51" i="2"/>
  <c r="E51" i="2" s="1"/>
  <c r="R56" i="2"/>
  <c r="E56" i="2" s="1"/>
  <c r="R62" i="2"/>
  <c r="E62" i="2" s="1"/>
  <c r="R96" i="2"/>
  <c r="E96" i="2" s="1"/>
  <c r="R119" i="2"/>
  <c r="E119" i="2" s="1"/>
  <c r="R131" i="2"/>
  <c r="E131" i="2" s="1"/>
  <c r="R149" i="2"/>
  <c r="E149" i="2" s="1"/>
  <c r="R8" i="2"/>
  <c r="E8" i="2" s="1"/>
  <c r="R75" i="2"/>
  <c r="E75" i="2" s="1"/>
  <c r="R109" i="2"/>
  <c r="E109" i="2" s="1"/>
  <c r="R126" i="2"/>
  <c r="E126" i="2" s="1"/>
  <c r="R138" i="2"/>
  <c r="E138" i="2" s="1"/>
  <c r="R150" i="2"/>
  <c r="E150" i="2" s="1"/>
  <c r="R58" i="2"/>
  <c r="E58" i="2" s="1"/>
  <c r="R127" i="2"/>
  <c r="E127" i="2" s="1"/>
  <c r="R15" i="2"/>
  <c r="E15" i="2" s="1"/>
  <c r="R48" i="2"/>
  <c r="E48" i="2" s="1"/>
  <c r="R82" i="2"/>
  <c r="E82" i="2" s="1"/>
  <c r="R116" i="2"/>
  <c r="R140" i="2"/>
  <c r="E140" i="2" s="1"/>
  <c r="R9" i="2"/>
  <c r="E9" i="2" s="1"/>
  <c r="R14" i="2"/>
  <c r="E14" i="2" s="1"/>
  <c r="R19" i="2"/>
  <c r="E19" i="2" s="1"/>
  <c r="R24" i="2"/>
  <c r="E24" i="2" s="1"/>
  <c r="R29" i="2"/>
  <c r="E29" i="2" s="1"/>
  <c r="R34" i="2"/>
  <c r="E34" i="2" s="1"/>
  <c r="R47" i="2"/>
  <c r="E47" i="2" s="1"/>
  <c r="R80" i="2"/>
  <c r="E80" i="2" s="1"/>
  <c r="R107" i="2"/>
  <c r="E107" i="2" s="1"/>
  <c r="R124" i="2"/>
  <c r="E124" i="2" s="1"/>
  <c r="R142" i="2"/>
  <c r="E142" i="2" s="1"/>
  <c r="R103" i="2"/>
  <c r="E103" i="2" s="1"/>
  <c r="R120" i="2"/>
  <c r="E120" i="2" s="1"/>
  <c r="R125" i="2"/>
  <c r="E125" i="2" s="1"/>
  <c r="R89" i="2"/>
  <c r="E89" i="2" s="1"/>
  <c r="R36" i="2"/>
  <c r="E36" i="2" s="1"/>
  <c r="R71" i="2"/>
  <c r="E71" i="2" s="1"/>
  <c r="R81" i="2"/>
  <c r="E81" i="2" s="1"/>
  <c r="R95" i="2"/>
  <c r="E95" i="2" s="1"/>
  <c r="R121" i="2"/>
  <c r="E121" i="2" s="1"/>
  <c r="R144" i="2"/>
  <c r="E144" i="2" s="1"/>
  <c r="R26" i="2"/>
  <c r="E26" i="2" s="1"/>
  <c r="R7" i="2"/>
  <c r="E7" i="2" s="1"/>
  <c r="R17" i="2"/>
  <c r="E17" i="2" s="1"/>
  <c r="R27" i="2"/>
  <c r="E27" i="2" s="1"/>
  <c r="R32" i="2"/>
  <c r="E32" i="2" s="1"/>
  <c r="R37" i="2"/>
  <c r="E37" i="2" s="1"/>
  <c r="R50" i="2"/>
  <c r="E50" i="2" s="1"/>
  <c r="R57" i="2"/>
  <c r="E57" i="2" s="1"/>
  <c r="R77" i="2"/>
  <c r="E77" i="2" s="1"/>
  <c r="R83" i="2"/>
  <c r="E83" i="2" s="1"/>
  <c r="R91" i="2"/>
  <c r="E91" i="2" s="1"/>
  <c r="R137" i="2"/>
  <c r="E137" i="2" s="1"/>
  <c r="R151" i="2"/>
  <c r="E151" i="2" s="1"/>
  <c r="R45" i="2"/>
  <c r="E45" i="2" s="1"/>
  <c r="R67" i="2"/>
  <c r="E67" i="2" s="1"/>
  <c r="R105" i="2"/>
  <c r="E105" i="2" s="1"/>
  <c r="R132" i="2"/>
  <c r="E132" i="2" s="1"/>
  <c r="R18" i="2"/>
  <c r="E18" i="2" s="1"/>
  <c r="R23" i="2"/>
  <c r="E23" i="2" s="1"/>
  <c r="R46" i="2"/>
  <c r="E46" i="2" s="1"/>
  <c r="R54" i="2"/>
  <c r="E54" i="2" s="1"/>
  <c r="R59" i="2"/>
  <c r="E59" i="2" s="1"/>
  <c r="R68" i="2"/>
  <c r="E68" i="2" s="1"/>
  <c r="R92" i="2"/>
  <c r="E92" i="2" s="1"/>
  <c r="R106" i="2"/>
  <c r="E106" i="2" s="1"/>
  <c r="R123" i="2"/>
  <c r="E123" i="2" s="1"/>
  <c r="R128" i="2"/>
  <c r="E128" i="2" s="1"/>
  <c r="R133" i="2"/>
  <c r="E133" i="2" s="1"/>
  <c r="E4" i="2"/>
  <c r="M2" i="2" a="1"/>
  <c r="M2" i="2" s="1"/>
  <c r="L2" i="2" a="1"/>
  <c r="L2" i="2" s="1"/>
  <c r="R114" i="2"/>
  <c r="E114" i="2" s="1"/>
  <c r="R66" i="2"/>
  <c r="E66" i="2" s="1"/>
  <c r="R143" i="2"/>
  <c r="E143" i="2" s="1"/>
  <c r="R147" i="2"/>
  <c r="E147" i="2" s="1"/>
  <c r="R78" i="2"/>
  <c r="E78" i="2" s="1"/>
  <c r="R90" i="2"/>
  <c r="E90" i="2" s="1"/>
  <c r="R94" i="2"/>
  <c r="E94" i="2" s="1"/>
  <c r="P160" i="2"/>
  <c r="Q160" i="2"/>
  <c r="R160" i="2" l="1"/>
  <c r="J2" i="2"/>
  <c r="I2" i="2"/>
  <c r="G2" i="2" s="1"/>
</calcChain>
</file>

<file path=xl/sharedStrings.xml><?xml version="1.0" encoding="utf-8"?>
<sst xmlns="http://schemas.openxmlformats.org/spreadsheetml/2006/main" count="853" uniqueCount="194">
  <si>
    <t>FORM 3</t>
  </si>
  <si>
    <t>DATE:</t>
  </si>
  <si>
    <t>JANUARY</t>
  </si>
  <si>
    <t>Stock Tracking Status</t>
  </si>
  <si>
    <t xml:space="preserve">Total Carton </t>
  </si>
  <si>
    <t>Total KG</t>
  </si>
  <si>
    <t>Fish Name</t>
  </si>
  <si>
    <t>Size</t>
  </si>
  <si>
    <t>Bulk Weight</t>
  </si>
  <si>
    <t>KG Total</t>
  </si>
  <si>
    <t>Type</t>
  </si>
  <si>
    <t>Glazing</t>
  </si>
  <si>
    <t>Sticker</t>
  </si>
  <si>
    <t>Lines / Place</t>
  </si>
  <si>
    <t>Stack No</t>
  </si>
  <si>
    <t>Stack Total</t>
  </si>
  <si>
    <t>CS NO</t>
  </si>
  <si>
    <t>Hand - on Balance</t>
  </si>
  <si>
    <t>Note</t>
  </si>
  <si>
    <t>Stock Track</t>
  </si>
  <si>
    <t>TOTAL CS IN (MC)</t>
  </si>
  <si>
    <t>TOTAL CS OUT (MC)</t>
  </si>
  <si>
    <t>Closing Balance</t>
  </si>
  <si>
    <t>A</t>
  </si>
  <si>
    <t>KHOLSHA/WR</t>
  </si>
  <si>
    <t>6 - 7 PCS</t>
  </si>
  <si>
    <t>10 KG</t>
  </si>
  <si>
    <t>FZ</t>
  </si>
  <si>
    <t>A01r-1</t>
  </si>
  <si>
    <t>CS 3 / 1 st</t>
  </si>
  <si>
    <t>9 - 10 PCS</t>
  </si>
  <si>
    <t>A01r-2</t>
  </si>
  <si>
    <t>TILAPIA/WR</t>
  </si>
  <si>
    <t>1 KG UP</t>
  </si>
  <si>
    <t>20 KG</t>
  </si>
  <si>
    <t>GL.5%</t>
  </si>
  <si>
    <t>A01r-3</t>
  </si>
  <si>
    <t>PABDA/WR/IQF</t>
  </si>
  <si>
    <t>7" UP</t>
  </si>
  <si>
    <t>GL.10%</t>
  </si>
  <si>
    <t>A02r-1</t>
  </si>
  <si>
    <t>A02r-2</t>
  </si>
  <si>
    <t>A02r-3</t>
  </si>
  <si>
    <t>4 - 5 PCS</t>
  </si>
  <si>
    <t>A03r-1</t>
  </si>
  <si>
    <t>MRIGAL/TAIL</t>
  </si>
  <si>
    <t>-</t>
  </si>
  <si>
    <t>18 KG</t>
  </si>
  <si>
    <t>A03r-2</t>
  </si>
  <si>
    <t>MRIGAL/H-L/STEAK</t>
  </si>
  <si>
    <t>Shining</t>
  </si>
  <si>
    <t>GL.20%</t>
  </si>
  <si>
    <t>RED POMFRET/H-L/STEAK</t>
  </si>
  <si>
    <t>700 GM UP</t>
  </si>
  <si>
    <t>GL.30%</t>
  </si>
  <si>
    <t>TILAPIA/GS</t>
  </si>
  <si>
    <t>800 GM UP</t>
  </si>
  <si>
    <t>For 30%</t>
  </si>
  <si>
    <t>A03r-3</t>
  </si>
  <si>
    <t>A04r-1</t>
  </si>
  <si>
    <t>TILAPIA/FC</t>
  </si>
  <si>
    <t>100 - 200 GM</t>
  </si>
  <si>
    <t>A04r-2</t>
  </si>
  <si>
    <t>PUTI/CLN</t>
  </si>
  <si>
    <t>200 - 300 GM</t>
  </si>
  <si>
    <t>GREEN CHILLI/ORGANIC</t>
  </si>
  <si>
    <t>15 KG</t>
  </si>
  <si>
    <t>A01L-1</t>
  </si>
  <si>
    <t>A01L-2</t>
  </si>
  <si>
    <t>A01L-3</t>
  </si>
  <si>
    <t>A02L-1</t>
  </si>
  <si>
    <t>RED CHILLI/ORGANIC</t>
  </si>
  <si>
    <t>A02L-2</t>
  </si>
  <si>
    <t>A02L-3</t>
  </si>
  <si>
    <t>A03L-1</t>
  </si>
  <si>
    <t>A03L-2</t>
  </si>
  <si>
    <t>A03L-3</t>
  </si>
  <si>
    <t>A04L-1</t>
  </si>
  <si>
    <t>A04L-2</t>
  </si>
  <si>
    <t>A04L-3</t>
  </si>
  <si>
    <t>A05L-1</t>
  </si>
  <si>
    <t>A05L-2</t>
  </si>
  <si>
    <t>NOT GOOD</t>
  </si>
  <si>
    <t>A05L-3</t>
  </si>
  <si>
    <t>PANGUSH/G</t>
  </si>
  <si>
    <t>3 KG UP</t>
  </si>
  <si>
    <t>A06L-1</t>
  </si>
  <si>
    <t>4 KG UP</t>
  </si>
  <si>
    <t>2 KG UP</t>
  </si>
  <si>
    <t>A06L-2</t>
  </si>
  <si>
    <t>A06L-3</t>
  </si>
  <si>
    <t>500 - 800 GM</t>
  </si>
  <si>
    <t>A07L-1</t>
  </si>
  <si>
    <t>300 - 500 GM</t>
  </si>
  <si>
    <t>PANGUSH/H-L</t>
  </si>
  <si>
    <t>A07L-2</t>
  </si>
  <si>
    <t>B</t>
  </si>
  <si>
    <t>PANGUSH/H-L/STEAK</t>
  </si>
  <si>
    <t>MEX</t>
  </si>
  <si>
    <t>B01r-1</t>
  </si>
  <si>
    <t>B01r-2</t>
  </si>
  <si>
    <t>ROHU/STEAK/GGS</t>
  </si>
  <si>
    <t>B01r-3</t>
  </si>
  <si>
    <t>TANGRA/WR/IQF</t>
  </si>
  <si>
    <t>5" UP</t>
  </si>
  <si>
    <t>B02r-1</t>
  </si>
  <si>
    <t>TANGRA/WR</t>
  </si>
  <si>
    <t>4" UP</t>
  </si>
  <si>
    <t>LONGBAIM/CLN/BLK</t>
  </si>
  <si>
    <t>400 - 600 GM</t>
  </si>
  <si>
    <t>B02r-2</t>
  </si>
  <si>
    <t>KORAL/WR</t>
  </si>
  <si>
    <t>NO BAG</t>
  </si>
  <si>
    <t>B02r-3</t>
  </si>
  <si>
    <t>B03r-1</t>
  </si>
  <si>
    <t>B03r-2</t>
  </si>
  <si>
    <t>TH</t>
  </si>
  <si>
    <t>ROHU/G</t>
  </si>
  <si>
    <t>1.5 KG UP</t>
  </si>
  <si>
    <t>BACHA/WR/IQF</t>
  </si>
  <si>
    <t>800 GM X 20 BAG</t>
  </si>
  <si>
    <t>B03r-3</t>
  </si>
  <si>
    <t>BACHA/WR/TRAY</t>
  </si>
  <si>
    <t>500 GM X 20 TRAY</t>
  </si>
  <si>
    <t>80 - 100 GM</t>
  </si>
  <si>
    <t>B04r-1</t>
  </si>
  <si>
    <t>GL.13%</t>
  </si>
  <si>
    <t>TILAPIA/GGS/H-L/STEAK</t>
  </si>
  <si>
    <t>1.2 KG UP</t>
  </si>
  <si>
    <t>B04r-2</t>
  </si>
  <si>
    <t>B04r-3</t>
  </si>
  <si>
    <t>WTC</t>
  </si>
  <si>
    <t>ROHU/SO</t>
  </si>
  <si>
    <t>TILAPIA/GGS</t>
  </si>
  <si>
    <t>B01L-1</t>
  </si>
  <si>
    <t>B01L-2</t>
  </si>
  <si>
    <t>B01L-3</t>
  </si>
  <si>
    <t>B02L-1</t>
  </si>
  <si>
    <t>B02L-2</t>
  </si>
  <si>
    <t>B02L-3</t>
  </si>
  <si>
    <t>B03L-1</t>
  </si>
  <si>
    <t>B03L-2</t>
  </si>
  <si>
    <t>B03L-3</t>
  </si>
  <si>
    <t>B04L-1</t>
  </si>
  <si>
    <t>B04L-2</t>
  </si>
  <si>
    <t>B04L-3</t>
  </si>
  <si>
    <t>B05L-1</t>
  </si>
  <si>
    <t>600 GM UP</t>
  </si>
  <si>
    <t>B05L-2</t>
  </si>
  <si>
    <t>E-MOLA/H-L/IQF</t>
  </si>
  <si>
    <t>B05L-3</t>
  </si>
  <si>
    <t>BACHA/TRAY</t>
  </si>
  <si>
    <t>MAGUR/CLN/TRAY</t>
  </si>
  <si>
    <t>800 GM X 12 TRAY</t>
  </si>
  <si>
    <t>B06L-1</t>
  </si>
  <si>
    <t>B06L-2</t>
  </si>
  <si>
    <t>B06L-3</t>
  </si>
  <si>
    <t>B07L-1</t>
  </si>
  <si>
    <t>B07L-2</t>
  </si>
  <si>
    <t>B07L-3</t>
  </si>
  <si>
    <t>C</t>
  </si>
  <si>
    <t>C01r-1</t>
  </si>
  <si>
    <t>C01r-2</t>
  </si>
  <si>
    <t>ROHU/H-L/STEAK</t>
  </si>
  <si>
    <t>JBC</t>
  </si>
  <si>
    <t>50 GM UP</t>
  </si>
  <si>
    <t>ROHU/HEAD/GGS</t>
  </si>
  <si>
    <t>ROHU/EGG/BLK</t>
  </si>
  <si>
    <t>240 GM X 40 BLK</t>
  </si>
  <si>
    <t>ROHU/TAIL</t>
  </si>
  <si>
    <t>HORINA/H-L/IQF</t>
  </si>
  <si>
    <t>BOAL/WR</t>
  </si>
  <si>
    <t>C01r-3</t>
  </si>
  <si>
    <t>CHITAL</t>
  </si>
  <si>
    <t>CHITAL/WR</t>
  </si>
  <si>
    <t>AYER/G</t>
  </si>
  <si>
    <t>KALIBOUSH</t>
  </si>
  <si>
    <t>BOAL</t>
  </si>
  <si>
    <t>BIGHEAD CARP</t>
  </si>
  <si>
    <t>C02r-1</t>
  </si>
  <si>
    <t>C02r-2</t>
  </si>
  <si>
    <t>C02r-3</t>
  </si>
  <si>
    <t>C03r-1</t>
  </si>
  <si>
    <t>C03r-2</t>
  </si>
  <si>
    <t>C03r-3</t>
  </si>
  <si>
    <t>400 - 700 GM</t>
  </si>
  <si>
    <t>SM</t>
  </si>
  <si>
    <t>C04r-2</t>
  </si>
  <si>
    <t xml:space="preserve">                                  </t>
  </si>
  <si>
    <t>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</si>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</sst>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0;\-0;;@"/>
    <numFmt numFmtId="165" formatCode="&quot;£&quot;#,##0.00;[Red]\-&quot;£&quot;#,##0.00"/>
    <numFmt numFmtId="166" formatCode="&quot;$&quot;#,##0.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25"/>
      <name val="Calibri"/>
      <family val="2"/>
      <scheme val="minor"/>
    </font>
    <font>
      <sz val="28"/>
      <color theme="1" tint="0.24994659260841701"/>
      <name val="Calibri Light"/>
      <family val="2"/>
      <scheme val="major"/>
    </font>
    <font>
      <sz val="48"/>
      <color theme="6" tint="-0.499984740745262"/>
      <name val="Calibri Light"/>
      <family val="2"/>
      <scheme val="major"/>
    </font>
    <font>
      <sz val="48"/>
      <color theme="6" tint="-0.499984740745262"/>
      <name val="Calibri"/>
      <family val="2"/>
      <scheme val="minor"/>
    </font>
    <font>
      <b/>
      <sz val="28"/>
      <color theme="1" tint="0.24994659260841701"/>
      <name val="Arial"/>
      <family val="2"/>
    </font>
    <font>
      <sz val="28"/>
      <color theme="1" tint="0.24994659260841701"/>
      <name val="Calibri"/>
      <family val="2"/>
      <scheme val="minor"/>
    </font>
    <font>
      <sz val="28"/>
      <color rgb="FF00B050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color theme="1" tint="0.14996795556505021"/>
      <name val="Calibri Light"/>
      <family val="2"/>
      <scheme val="major"/>
    </font>
    <font>
      <b/>
      <sz val="14"/>
      <color theme="6" tint="-0.499984740745262"/>
      <name val="Calibri Light"/>
      <family val="2"/>
      <scheme val="major"/>
    </font>
    <font>
      <b/>
      <sz val="14"/>
      <color theme="6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b/>
      <sz val="12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4"/>
      <name val="Calibri"/>
      <family val="2"/>
      <scheme val="minor"/>
    </font>
    <font>
      <sz val="25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  <font>
      <b/>
      <sz val="16"/>
      <color rgb="FFFF0000"/>
      <name val="Calibri"/>
      <family val="2"/>
    </font>
    <font>
      <b/>
      <sz val="11"/>
      <color rgb="FF00B050"/>
      <name val="Calibri Light"/>
      <family val="2"/>
      <scheme val="major"/>
    </font>
    <font>
      <b/>
      <sz val="11"/>
      <color theme="7" tint="-0.249977111117893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25"/>
      <name val="Calibri"/>
      <family val="2"/>
    </font>
    <font>
      <b/>
      <sz val="19"/>
      <color theme="1"/>
      <name val="Calibri"/>
      <family val="2"/>
    </font>
    <font>
      <sz val="18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Arial"/>
      <family val="2"/>
    </font>
    <font>
      <b/>
      <sz val="16"/>
      <color theme="9" tint="-0.249977111117893"/>
      <name val="Calibri"/>
      <family val="2"/>
    </font>
    <font>
      <sz val="14"/>
      <color rgb="FF00B050"/>
      <name val="Calibri"/>
      <family val="2"/>
    </font>
    <font>
      <sz val="13"/>
      <color theme="7" tint="-0.249977111117893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b/>
      <sz val="19"/>
      <name val="Calibri"/>
      <family val="2"/>
    </font>
    <font>
      <b/>
      <sz val="11"/>
      <color theme="6" tint="-0.499984740745262"/>
      <name val="Arial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sz val="11"/>
      <color theme="6" tint="-0.499984740745262"/>
      <name val="Calibri Light"/>
      <family val="2"/>
      <scheme val="major"/>
    </font>
    <font>
      <b/>
      <sz val="11"/>
      <color theme="6" tint="-0.499984740745262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>
      <alignment wrapText="1"/>
    </xf>
    <xf numFmtId="0" fontId="4" fillId="0" borderId="1" applyNumberFormat="0" applyFill="0" applyProtection="0">
      <alignment horizontal="left"/>
    </xf>
    <xf numFmtId="0" fontId="11" fillId="0" borderId="0" applyNumberFormat="0" applyFill="0" applyAlignment="0" applyProtection="0"/>
    <xf numFmtId="9" fontId="2" fillId="0" borderId="0" applyFont="0" applyFill="0" applyBorder="0" applyAlignment="0" applyProtection="0"/>
    <xf numFmtId="14" fontId="2" fillId="0" borderId="0">
      <alignment wrapText="1"/>
    </xf>
    <xf numFmtId="7" fontId="2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1" applyFont="1">
      <alignment wrapText="1"/>
    </xf>
    <xf numFmtId="0" fontId="5" fillId="0" borderId="0" xfId="2" applyFont="1" applyFill="1" applyBorder="1" applyProtection="1">
      <alignment horizontal="left"/>
      <protection locked="0"/>
    </xf>
    <xf numFmtId="0" fontId="6" fillId="0" borderId="0" xfId="2" applyFont="1" applyFill="1" applyBorder="1" applyAlignment="1" applyProtection="1">
      <protection locked="0"/>
    </xf>
    <xf numFmtId="0" fontId="7" fillId="0" borderId="0" xfId="2" applyFont="1" applyFill="1" applyBorder="1" applyAlignment="1" applyProtection="1">
      <alignment horizontal="center" vertical="center"/>
      <protection locked="0"/>
    </xf>
    <xf numFmtId="0" fontId="8" fillId="0" borderId="0" xfId="2" applyFont="1" applyFill="1" applyBorder="1" applyProtection="1">
      <alignment horizontal="left"/>
      <protection locked="0"/>
    </xf>
    <xf numFmtId="0" fontId="9" fillId="0" borderId="0" xfId="2" applyFont="1" applyFill="1" applyBorder="1" applyProtection="1">
      <alignment horizontal="left"/>
      <protection locked="0"/>
    </xf>
    <xf numFmtId="0" fontId="10" fillId="0" borderId="0" xfId="2" applyFont="1" applyFill="1" applyBorder="1" applyProtection="1">
      <alignment horizontal="left"/>
      <protection locked="0"/>
    </xf>
    <xf numFmtId="0" fontId="2" fillId="0" borderId="0" xfId="1" applyProtection="1">
      <alignment wrapText="1"/>
      <protection locked="0"/>
    </xf>
    <xf numFmtId="0" fontId="2" fillId="0" borderId="0" xfId="1">
      <alignment wrapText="1"/>
    </xf>
    <xf numFmtId="0" fontId="12" fillId="2" borderId="0" xfId="3" applyFont="1" applyFill="1" applyAlignment="1" applyProtection="1">
      <alignment horizontal="right" vertical="center"/>
      <protection locked="0"/>
    </xf>
    <xf numFmtId="14" fontId="13" fillId="2" borderId="0" xfId="1" applyNumberFormat="1" applyFont="1" applyFill="1" applyAlignment="1" applyProtection="1">
      <alignment horizontal="left" vertical="center" indent="1"/>
      <protection locked="0"/>
    </xf>
    <xf numFmtId="0" fontId="14" fillId="0" borderId="0" xfId="1" applyFont="1" applyProtection="1">
      <alignment wrapText="1"/>
      <protection locked="0"/>
    </xf>
    <xf numFmtId="0" fontId="15" fillId="0" borderId="0" xfId="1" applyFont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1" fontId="15" fillId="0" borderId="0" xfId="1" applyNumberFormat="1" applyFont="1" applyAlignment="1" applyProtection="1">
      <alignment horizontal="center" vertical="center" wrapText="1"/>
      <protection locked="0"/>
    </xf>
    <xf numFmtId="1" fontId="17" fillId="0" borderId="0" xfId="1" applyNumberFormat="1" applyFont="1" applyAlignment="1" applyProtection="1">
      <alignment horizontal="center" vertical="center" wrapText="1"/>
      <protection locked="0"/>
    </xf>
    <xf numFmtId="0" fontId="18" fillId="0" borderId="0" xfId="1" applyFont="1" applyAlignment="1" applyProtection="1">
      <alignment horizontal="center" vertical="center" wrapText="1"/>
      <protection locked="0"/>
    </xf>
    <xf numFmtId="0" fontId="19" fillId="0" borderId="0" xfId="1" applyFont="1" applyProtection="1">
      <alignment wrapText="1"/>
      <protection locked="0"/>
    </xf>
    <xf numFmtId="0" fontId="20" fillId="0" borderId="0" xfId="1" applyFont="1" applyProtection="1">
      <alignment wrapText="1"/>
      <protection locked="0"/>
    </xf>
    <xf numFmtId="0" fontId="21" fillId="0" borderId="0" xfId="1" applyFont="1" applyAlignment="1">
      <alignment horizontal="center" vertical="center" wrapText="1"/>
    </xf>
    <xf numFmtId="0" fontId="22" fillId="0" borderId="2" xfId="1" applyFont="1" applyBorder="1" applyAlignment="1" applyProtection="1">
      <alignment horizontal="center" vertical="center" wrapText="1"/>
      <protection locked="0"/>
    </xf>
    <xf numFmtId="0" fontId="23" fillId="0" borderId="2" xfId="1" applyFont="1" applyBorder="1" applyAlignment="1" applyProtection="1">
      <alignment horizontal="center" vertical="center" wrapText="1"/>
      <protection locked="0"/>
    </xf>
    <xf numFmtId="164" fontId="24" fillId="0" borderId="2" xfId="1" applyNumberFormat="1" applyFont="1" applyBorder="1" applyAlignment="1" applyProtection="1">
      <alignment horizontal="center" vertical="center" wrapText="1"/>
      <protection locked="0"/>
    </xf>
    <xf numFmtId="0" fontId="25" fillId="0" borderId="2" xfId="1" applyFont="1" applyBorder="1" applyAlignment="1" applyProtection="1">
      <alignment horizontal="center" vertical="center" wrapText="1"/>
      <protection locked="0"/>
    </xf>
    <xf numFmtId="0" fontId="26" fillId="0" borderId="2" xfId="1" applyFont="1" applyBorder="1" applyAlignment="1" applyProtection="1">
      <alignment horizontal="center" vertical="center" wrapText="1"/>
      <protection locked="0"/>
    </xf>
    <xf numFmtId="0" fontId="27" fillId="0" borderId="2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>
      <alignment horizontal="center" vertical="center" wrapText="1"/>
    </xf>
    <xf numFmtId="0" fontId="28" fillId="3" borderId="0" xfId="1" applyFont="1" applyFill="1" applyAlignment="1">
      <alignment horizontal="center" vertical="center" wrapText="1"/>
    </xf>
    <xf numFmtId="0" fontId="29" fillId="0" borderId="2" xfId="1" applyFont="1" applyBorder="1" applyAlignment="1" applyProtection="1">
      <alignment horizontal="center" vertical="center" wrapText="1"/>
      <protection locked="0"/>
    </xf>
    <xf numFmtId="49" fontId="30" fillId="0" borderId="2" xfId="1" applyNumberFormat="1" applyFont="1" applyBorder="1" applyAlignment="1" applyProtection="1">
      <alignment horizontal="center" vertical="center" wrapText="1"/>
      <protection locked="0"/>
    </xf>
    <xf numFmtId="165" fontId="31" fillId="0" borderId="2" xfId="1" applyNumberFormat="1" applyFont="1" applyBorder="1" applyAlignment="1" applyProtection="1">
      <alignment horizontal="center" vertical="center" wrapText="1"/>
      <protection locked="0"/>
    </xf>
    <xf numFmtId="0" fontId="31" fillId="0" borderId="2" xfId="1" applyFont="1" applyBorder="1" applyAlignment="1" applyProtection="1">
      <alignment horizontal="center" vertical="center" wrapText="1"/>
      <protection locked="0"/>
    </xf>
    <xf numFmtId="49" fontId="31" fillId="0" borderId="2" xfId="1" applyNumberFormat="1" applyFont="1" applyBorder="1" applyAlignment="1" applyProtection="1">
      <alignment horizontal="center" vertical="center" wrapText="1"/>
      <protection locked="0"/>
    </xf>
    <xf numFmtId="9" fontId="32" fillId="0" borderId="2" xfId="4" applyFont="1" applyFill="1" applyBorder="1" applyAlignment="1" applyProtection="1">
      <alignment horizontal="center" vertical="center" wrapText="1"/>
      <protection locked="0"/>
    </xf>
    <xf numFmtId="0" fontId="31" fillId="0" borderId="2" xfId="4" applyNumberFormat="1" applyFont="1" applyFill="1" applyBorder="1" applyAlignment="1" applyProtection="1">
      <alignment horizontal="center" vertical="center" wrapText="1"/>
      <protection locked="0"/>
    </xf>
    <xf numFmtId="9" fontId="31" fillId="0" borderId="2" xfId="4" applyFont="1" applyFill="1" applyBorder="1" applyAlignment="1" applyProtection="1">
      <alignment horizontal="center" vertical="center" wrapText="1"/>
      <protection locked="0"/>
    </xf>
    <xf numFmtId="0" fontId="33" fillId="0" borderId="2" xfId="5" applyNumberFormat="1" applyFont="1" applyBorder="1" applyAlignment="1" applyProtection="1">
      <alignment horizontal="center" vertical="center" wrapText="1"/>
      <protection locked="0"/>
    </xf>
    <xf numFmtId="7" fontId="31" fillId="0" borderId="2" xfId="6" applyFont="1" applyFill="1" applyBorder="1" applyAlignment="1" applyProtection="1">
      <alignment horizontal="center" vertical="center" wrapText="1"/>
      <protection locked="0"/>
    </xf>
    <xf numFmtId="1" fontId="34" fillId="0" borderId="2" xfId="6" applyNumberFormat="1" applyFont="1" applyFill="1" applyBorder="1" applyAlignment="1" applyProtection="1">
      <alignment horizontal="center" vertical="center" wrapText="1"/>
      <protection locked="0"/>
    </xf>
    <xf numFmtId="1" fontId="35" fillId="0" borderId="2" xfId="4" applyNumberFormat="1" applyFont="1" applyFill="1" applyBorder="1" applyAlignment="1" applyProtection="1">
      <alignment horizontal="center" vertical="center" wrapText="1"/>
      <protection locked="0"/>
    </xf>
    <xf numFmtId="1" fontId="36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37" fillId="0" borderId="0" xfId="1" applyFont="1" applyAlignment="1" applyProtection="1">
      <alignment horizontal="center" vertical="center" wrapText="1"/>
      <protection locked="0"/>
    </xf>
    <xf numFmtId="0" fontId="37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30" fillId="0" borderId="2" xfId="1" applyFont="1" applyBorder="1" applyAlignment="1" applyProtection="1">
      <alignment horizontal="center" vertical="center" wrapText="1"/>
      <protection locked="0"/>
    </xf>
    <xf numFmtId="0" fontId="38" fillId="0" borderId="2" xfId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>
      <alignment horizontal="center" vertical="center" wrapText="1"/>
    </xf>
    <xf numFmtId="0" fontId="41" fillId="0" borderId="2" xfId="1" applyFont="1" applyBorder="1" applyAlignment="1" applyProtection="1">
      <alignment horizontal="center" vertical="center" wrapText="1"/>
      <protection locked="0"/>
    </xf>
    <xf numFmtId="49" fontId="41" fillId="0" borderId="2" xfId="1" applyNumberFormat="1" applyFont="1" applyBorder="1" applyAlignment="1" applyProtection="1">
      <alignment horizontal="center" vertical="center" wrapText="1"/>
      <protection locked="0"/>
    </xf>
    <xf numFmtId="9" fontId="23" fillId="0" borderId="2" xfId="4" applyFont="1" applyFill="1" applyBorder="1" applyAlignment="1" applyProtection="1">
      <alignment horizontal="center" vertical="center" wrapText="1"/>
      <protection locked="0"/>
    </xf>
    <xf numFmtId="9" fontId="41" fillId="0" borderId="2" xfId="4" applyFont="1" applyFill="1" applyBorder="1" applyAlignment="1" applyProtection="1">
      <alignment horizontal="center" vertical="center" wrapText="1"/>
      <protection locked="0"/>
    </xf>
    <xf numFmtId="14" fontId="33" fillId="0" borderId="2" xfId="5" applyFont="1" applyBorder="1" applyAlignment="1" applyProtection="1">
      <alignment horizontal="center" vertical="center" wrapText="1"/>
      <protection locked="0"/>
    </xf>
    <xf numFmtId="7" fontId="41" fillId="0" borderId="2" xfId="6" applyFont="1" applyFill="1" applyBorder="1" applyAlignment="1" applyProtection="1">
      <alignment horizontal="center" vertical="center" wrapText="1"/>
      <protection locked="0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>
      <alignment horizontal="center" vertical="center" wrapText="1"/>
    </xf>
    <xf numFmtId="0" fontId="46" fillId="0" borderId="0" xfId="1" applyFont="1" applyAlignment="1" applyProtection="1">
      <alignment horizontal="center" vertical="center" wrapText="1"/>
      <protection locked="0"/>
    </xf>
    <xf numFmtId="1" fontId="40" fillId="0" borderId="0" xfId="1" applyNumberFormat="1" applyFont="1" applyProtection="1">
      <alignment wrapText="1"/>
      <protection locked="0"/>
    </xf>
    <xf numFmtId="1" fontId="2" fillId="0" borderId="0" xfId="1" applyNumberFormat="1" applyProtection="1">
      <alignment wrapText="1"/>
      <protection locked="0"/>
    </xf>
    <xf numFmtId="0" fontId="46" fillId="0" borderId="0" xfId="1" applyFont="1" applyAlignment="1">
      <alignment horizontal="center" vertical="center" wrapText="1"/>
    </xf>
    <xf numFmtId="0" fontId="40" fillId="0" borderId="0" xfId="1" applyFont="1">
      <alignment wrapText="1"/>
    </xf>
    <xf numFmtId="1" fontId="2" fillId="0" borderId="0" xfId="1" applyNumberFormat="1">
      <alignment wrapText="1"/>
    </xf>
    <xf numFmtId="0" fontId="20" fillId="0" borderId="0" xfId="1" applyFont="1">
      <alignment wrapText="1"/>
    </xf>
    <xf numFmtId="0" fontId="4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9" fontId="39" fillId="0" borderId="0" xfId="0" applyNumberFormat="1" applyFont="1" applyFill="1" applyBorder="1" applyAlignment="1" applyProtection="1">
      <alignment horizontal="center" vertical="center" wrapText="1"/>
      <protection locked="0"/>
    </xf>
    <xf numFmtId="9" fontId="4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44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42" fillId="0" borderId="2" xfId="0" applyNumberFormat="1" applyFont="1" applyFill="1" applyBorder="1" applyAlignment="1" applyProtection="1">
      <alignment horizontal="center" vertical="center" wrapText="1"/>
      <protection locked="0"/>
    </xf>
    <xf numFmtId="166" fontId="42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45" fillId="0" borderId="2" xfId="0" applyNumberFormat="1" applyFont="1" applyFill="1" applyBorder="1" applyAlignment="1" applyProtection="1">
      <alignment horizontal="center" vertical="center" wrapText="1"/>
      <protection locked="0"/>
    </xf>
  </cellXfs>
  <cellStyles count="7">
    <cellStyle name="Currency 2" xfId="6" xr:uid="{ECB269E0-80BB-491B-B2CD-D2B15CC5C1A0}"/>
    <cellStyle name="Date" xfId="5" xr:uid="{AFF4A5D8-E749-4CB6-AD77-EB9CE44B292C}"/>
    <cellStyle name="Heading 1 2" xfId="2" xr:uid="{4A55069C-ADB8-4C53-95E2-9EC539E2BEC1}"/>
    <cellStyle name="Heading 2 2" xfId="3" xr:uid="{050DA7A2-4A09-4584-A370-BF130BC88E7A}"/>
    <cellStyle name="Normal" xfId="0" builtinId="0"/>
    <cellStyle name="Normal 2" xfId="1" xr:uid="{D89F174B-CF48-497C-A6FC-3551C2ADBD61}"/>
    <cellStyle name="Percent 2" xfId="4" xr:uid="{5B43A595-F58C-47BA-BFC4-B5193625A3B5}"/>
  </cellStyles>
  <dxfs count="41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 Light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6"/>
        <color theme="9" tint="-0.249977111117893"/>
        <name val="Calibri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7" tint="-0.249977111117893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/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color rgb="FF22384F"/>
        <name val="Avenir Next LT Pro Dem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384F"/>
        <name val="Avenir Next LT Pro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489CD-E5F5-4EBF-9856-7EDCF580FE43}" name="Data4" displayName="Data4" ref="B3:R160" totalsRowCount="1" headerRowDxfId="40" dataDxfId="38" totalsRowDxfId="37" headerRowBorderDxfId="39" totalsRowBorderDxfId="36" headerRowCellStyle="Normal" totalsRowCellStyle="Normal">
  <autoFilter ref="B3:R159" xr:uid="{00000000-000C-0000-FFFF-FFFF00000000}"/>
  <tableColumns count="17">
    <tableColumn id="1" xr3:uid="{94E140FC-C049-4404-8E4E-59E3B3EA7D5F}" name="Fish Name" dataDxfId="35" totalsRowDxfId="18" totalsRowCellStyle="Normal 2"/>
    <tableColumn id="2" xr3:uid="{86BFCD64-4AFB-43FB-9C3B-F4FAAD8B58BD}" name="Size" dataDxfId="34" totalsRowDxfId="17" totalsRowCellStyle="Normal 2"/>
    <tableColumn id="3" xr3:uid="{FCB46152-4296-4B18-ADC7-9BCC07D9DB41}" name="Bulk Weight" dataDxfId="33" totalsRowDxfId="16" totalsRowCellStyle="Normal 2"/>
    <tableColumn id="5" xr3:uid="{4F26F4B0-38D7-4AF4-828B-9EDA11E8E37B}" name="KG Total" dataDxfId="32" totalsRowDxfId="15" totalsRowCellStyle="Normal 2">
      <calculatedColumnFormula>IF(AND(D4&lt;&gt;"",#REF!&lt;&gt; ""), SUBSTITUTE(D4, " KG", "") *#REF!, "")</calculatedColumnFormula>
    </tableColumn>
    <tableColumn id="235" xr3:uid="{79F69F30-44CA-4731-8CD0-CFC505A6316F}" name="Type" dataDxfId="31" totalsRowDxfId="14" totalsRowCellStyle="Normal 2"/>
    <tableColumn id="4" xr3:uid="{0EC8F4BD-F916-4DB9-BF9C-C571614A5D42}" name="Glazing" dataDxfId="30" totalsRowDxfId="13" totalsRowCellStyle="Normal 2"/>
    <tableColumn id="6" xr3:uid="{740DD613-05F0-4DDB-A0CC-E6AFB23FE1F2}" name="Sticker" dataDxfId="29" totalsRowDxfId="12" totalsRowCellStyle="Normal 2"/>
    <tableColumn id="234" xr3:uid="{2B2A9C15-753B-4FE5-A35E-4ADADEB441B6}" name="Lines / Place" dataDxfId="28" totalsRowDxfId="11" totalsRowCellStyle="Normal 2"/>
    <tableColumn id="233" xr3:uid="{FCFC3ED9-3359-4BED-9A04-E627A6C56AA3}" name="Stack No" dataDxfId="27" totalsRowDxfId="10" totalsRowCellStyle="Normal 2"/>
    <tableColumn id="14" xr3:uid="{37835946-A867-446A-A137-9DD7E95F8C7A}" name="Stack Total" dataDxfId="26" totalsRowDxfId="9" totalsRowCellStyle="Normal 2"/>
    <tableColumn id="232" xr3:uid="{841C56F7-88C8-42A8-B575-C348BC2F74D2}" name="CS NO" totalsRowLabel="Total" dataDxfId="25" totalsRowDxfId="8" totalsRowCellStyle="Normal 2"/>
    <tableColumn id="7" xr3:uid="{E0DBFDB0-7397-4D2D-B3C0-7F0A20DDDD2F}" name="Hand - on Balance" totalsRowFunction="custom" dataDxfId="19" totalsRowDxfId="7" dataCellStyle="Date" totalsRowCellStyle="Normal 2">
      <totalsRowFormula>SUBTOTAL(109,#REF!)</totalsRowFormula>
    </tableColumn>
    <tableColumn id="12" xr3:uid="{7EF03C8E-C7E6-41B8-9984-BFF1217DEF86}" name="Note" dataDxfId="24" totalsRowDxfId="6" totalsRowCellStyle="Normal 2"/>
    <tableColumn id="239" xr3:uid="{4E638E56-CF8C-4F15-AE0A-912F00C17C00}" name="Stock Track" totalsRowFunction="custom" dataDxfId="23" totalsRowDxfId="5" totalsRowCellStyle="Normal 2">
      <totalsRowFormula>#REF!</totalsRowFormula>
    </tableColumn>
    <tableColumn id="231" xr3:uid="{3C28B338-EA93-4041-B542-145A136919FD}" name="TOTAL CS IN (MC)" totalsRowFunction="custom" dataDxfId="22" totalsRowDxfId="4" totalsRowCellStyle="Normal 2">
      <calculatedColumnFormula>M4</calculatedColumnFormula>
      <totalsRowFormula>SUM(P4:P159)</totalsRowFormula>
    </tableColumn>
    <tableColumn id="228" xr3:uid="{B3F66F51-5AAB-40EE-AC8D-339149B30B88}" name="TOTAL CS OUT (MC)" totalsRowFunction="custom" dataDxfId="21" totalsRowDxfId="3" totalsRowCellStyle="Normal 2">
      <calculatedColumnFormula>#REF!</calculatedColumnFormula>
      <totalsRowFormula>SUM(Q4:Q159)</totalsRowFormula>
    </tableColumn>
    <tableColumn id="229" xr3:uid="{C3F9B9EF-9F35-4574-92D7-1F75376221A8}" name="Closing Balance" totalsRowFunction="custom" dataDxfId="20" totalsRowDxfId="2" totalsRowCellStyle="Normal 2">
      <calculatedColumnFormula>+Data4[[#This Row],[TOTAL CS IN (MC)]]-Data4[[#This Row],[TOTAL CS OUT (MC)]]</calculatedColumnFormula>
      <totalsRowFormula>SUM(R4:R159)</totalsRow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Enter details like Asset Name, Class, Description, Cost, Depreciation Method, Useful Life, and Salvage Value in this table. Depreciation for this period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E7BE-0909-49C5-B4D5-DC32CED71525}">
  <sheetPr>
    <tabColor rgb="FFFF0000"/>
    <pageSetUpPr autoPageBreaks="0" fitToPage="1"/>
  </sheetPr>
  <dimension ref="A1:S164"/>
  <sheetViews>
    <sheetView showGridLines="0" tabSelected="1" zoomScale="70" zoomScaleNormal="70" workbookViewId="0">
      <selection activeCell="C2" sqref="C2"/>
    </sheetView>
  </sheetViews>
  <sheetFormatPr defaultColWidth="9.88671875" defaultRowHeight="30" customHeight="1" x14ac:dyDescent="0.6"/>
  <cols>
    <col min="1" max="1" width="8.6640625" style="1" customWidth="1"/>
    <col min="2" max="2" width="53.5546875" style="9" customWidth="1"/>
    <col min="3" max="3" width="27.88671875" style="9" customWidth="1"/>
    <col min="4" max="4" width="18.5546875" style="9" customWidth="1"/>
    <col min="5" max="5" width="18.5546875" style="9" hidden="1" customWidth="1"/>
    <col min="6" max="6" width="19.33203125" style="9" customWidth="1"/>
    <col min="7" max="7" width="14.88671875" style="9" customWidth="1"/>
    <col min="8" max="8" width="14.109375" style="9" customWidth="1"/>
    <col min="9" max="9" width="35.33203125" style="60" customWidth="1"/>
    <col min="10" max="10" width="15.88671875" style="9" customWidth="1"/>
    <col min="11" max="11" width="12.33203125" style="9" customWidth="1"/>
    <col min="12" max="12" width="23" style="9" hidden="1" customWidth="1"/>
    <col min="13" max="13" width="16.88671875" style="9" customWidth="1"/>
    <col min="14" max="15" width="13.33203125" style="9" customWidth="1"/>
    <col min="16" max="16" width="17.44140625" style="61" customWidth="1"/>
    <col min="17" max="17" width="17.44140625" style="9" customWidth="1"/>
    <col min="18" max="18" width="20.109375" style="63" customWidth="1"/>
    <col min="19" max="19" width="5.5546875" style="9" customWidth="1"/>
    <col min="20" max="16384" width="9.88671875" style="9"/>
  </cols>
  <sheetData>
    <row r="1" spans="1:19" ht="79.95" customHeight="1" x14ac:dyDescent="1.1000000000000001"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6"/>
      <c r="Q1" s="5"/>
      <c r="R1" s="7"/>
      <c r="S1" s="8"/>
    </row>
    <row r="2" spans="1:19" ht="45.75" customHeight="1" x14ac:dyDescent="0.6">
      <c r="B2" s="10" t="s">
        <v>1</v>
      </c>
      <c r="C2" s="11" t="s">
        <v>2</v>
      </c>
      <c r="D2" s="12"/>
      <c r="E2" s="12"/>
      <c r="F2" s="13" t="s">
        <v>3</v>
      </c>
      <c r="G2" s="14" t="e">
        <f>IF(SUBSTITUTE(I2, " MC", "") = TEXT(Data4[[#Totals],[Hand - on Balance]], "@"), "CORRECT", "WRONG")</f>
        <v>#REF!</v>
      </c>
      <c r="H2" s="15" t="s">
        <v>4</v>
      </c>
      <c r="I2" s="16" t="e">
        <f>Data4[[#Totals],[Hand - on Balance]]&amp; " MC"</f>
        <v>#REF!</v>
      </c>
      <c r="J2" s="13" t="e">
        <f>SUBTOTAL(109,Data4[KG Total])&amp; " KG"</f>
        <v>#REF!</v>
      </c>
      <c r="K2" s="13" t="s">
        <v>5</v>
      </c>
      <c r="L2" s="13" t="e">
        <f t="array" ref="L2">TEXT( SUMPRODUCT(IF(D4:D149&lt;&gt;"", SUBSTITUTE(D4:D149, " KG", "")+0, 0),#REF!), "0") &amp; " KG"</f>
        <v>#REF!</v>
      </c>
      <c r="M2" s="17" t="e">
        <f t="array" ref="M2">TEXT( SUMPRODUCT(IF(D4:D159&lt;&gt;"", SUBSTITUTE(D4:D159, " KG", "")+0, 0),#REF!), "0") &amp; " KG"</f>
        <v>#REF!</v>
      </c>
      <c r="N2" s="12"/>
      <c r="O2" s="12"/>
      <c r="P2" s="18"/>
      <c r="Q2" s="12"/>
      <c r="R2" s="19"/>
      <c r="S2" s="8"/>
    </row>
    <row r="3" spans="1:19" s="28" customFormat="1" ht="54" customHeight="1" x14ac:dyDescent="0.3">
      <c r="A3" s="20"/>
      <c r="B3" s="21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21" t="s">
        <v>11</v>
      </c>
      <c r="H3" s="21" t="s">
        <v>12</v>
      </c>
      <c r="I3" s="22" t="s">
        <v>13</v>
      </c>
      <c r="J3" s="21" t="s">
        <v>14</v>
      </c>
      <c r="K3" s="21" t="s">
        <v>15</v>
      </c>
      <c r="L3" s="21" t="s">
        <v>16</v>
      </c>
      <c r="M3" s="23" t="s">
        <v>17</v>
      </c>
      <c r="N3" s="21" t="s">
        <v>18</v>
      </c>
      <c r="O3" s="21" t="s">
        <v>19</v>
      </c>
      <c r="P3" s="24" t="s">
        <v>20</v>
      </c>
      <c r="Q3" s="25" t="s">
        <v>21</v>
      </c>
      <c r="R3" s="26" t="s">
        <v>22</v>
      </c>
      <c r="S3" s="27"/>
    </row>
    <row r="4" spans="1:19" s="44" customFormat="1" ht="40.200000000000003" customHeight="1" x14ac:dyDescent="0.3">
      <c r="A4" s="29" t="s">
        <v>23</v>
      </c>
      <c r="B4" s="30" t="s">
        <v>24</v>
      </c>
      <c r="C4" s="31" t="s">
        <v>25</v>
      </c>
      <c r="D4" s="32" t="s">
        <v>26</v>
      </c>
      <c r="E4" s="33" t="e">
        <f>IF(AND(D4&lt;&gt;"",#REF!&lt;&gt; ""), SUBSTITUTE(D4, " KG", "") *#REF!, "")</f>
        <v>#REF!</v>
      </c>
      <c r="F4" s="33"/>
      <c r="G4" s="34"/>
      <c r="H4" s="33" t="s">
        <v>27</v>
      </c>
      <c r="I4" s="35" t="s">
        <v>28</v>
      </c>
      <c r="J4" s="36">
        <v>589</v>
      </c>
      <c r="K4" s="36">
        <v>1</v>
      </c>
      <c r="L4" s="37" t="s">
        <v>29</v>
      </c>
      <c r="M4" s="38">
        <v>45</v>
      </c>
      <c r="N4" s="39"/>
      <c r="O4" s="39"/>
      <c r="P4" s="40">
        <f>M4</f>
        <v>45</v>
      </c>
      <c r="Q4" s="41" t="e">
        <f>#REF!</f>
        <v>#REF!</v>
      </c>
      <c r="R4" s="42" t="e">
        <f>+Data4[[#This Row],[TOTAL CS IN (MC)]]-Data4[[#This Row],[TOTAL CS OUT (MC)]]</f>
        <v>#REF!</v>
      </c>
      <c r="S4" s="43"/>
    </row>
    <row r="5" spans="1:19" s="44" customFormat="1" ht="40.200000000000003" customHeight="1" x14ac:dyDescent="0.3">
      <c r="A5" s="45"/>
      <c r="B5" s="30" t="s">
        <v>24</v>
      </c>
      <c r="C5" s="31" t="s">
        <v>30</v>
      </c>
      <c r="D5" s="32" t="s">
        <v>26</v>
      </c>
      <c r="E5" s="33" t="e">
        <f>IF(AND(D5&lt;&gt;"",#REF!&lt;&gt; ""), SUBSTITUTE(D5, " KG", "") *#REF!, "")</f>
        <v>#REF!</v>
      </c>
      <c r="F5" s="33"/>
      <c r="G5" s="34"/>
      <c r="H5" s="33" t="s">
        <v>27</v>
      </c>
      <c r="I5" s="35" t="s">
        <v>31</v>
      </c>
      <c r="J5" s="36">
        <v>121</v>
      </c>
      <c r="K5" s="36">
        <v>1</v>
      </c>
      <c r="L5" s="37" t="s">
        <v>29</v>
      </c>
      <c r="M5" s="38">
        <v>94</v>
      </c>
      <c r="N5" s="39"/>
      <c r="O5" s="39"/>
      <c r="P5" s="40">
        <f>M5</f>
        <v>94</v>
      </c>
      <c r="Q5" s="41" t="e">
        <f>#REF!</f>
        <v>#REF!</v>
      </c>
      <c r="R5" s="42" t="e">
        <f>+Data4[[#This Row],[TOTAL CS IN (MC)]]-Data4[[#This Row],[TOTAL CS OUT (MC)]]</f>
        <v>#REF!</v>
      </c>
      <c r="S5" s="43"/>
    </row>
    <row r="6" spans="1:19" s="44" customFormat="1" ht="40.200000000000003" customHeight="1" x14ac:dyDescent="0.3">
      <c r="A6" s="45"/>
      <c r="B6" s="30" t="s">
        <v>32</v>
      </c>
      <c r="C6" s="31" t="s">
        <v>33</v>
      </c>
      <c r="D6" s="32" t="s">
        <v>34</v>
      </c>
      <c r="E6" s="33" t="e">
        <f>IF(AND(D6&lt;&gt;"",#REF!&lt;&gt; ""), SUBSTITUTE(D6, " KG", "") *#REF!, "")</f>
        <v>#REF!</v>
      </c>
      <c r="F6" s="33"/>
      <c r="G6" s="34" t="s">
        <v>35</v>
      </c>
      <c r="H6" s="33"/>
      <c r="I6" s="35" t="s">
        <v>36</v>
      </c>
      <c r="J6" s="36">
        <v>1314</v>
      </c>
      <c r="K6" s="36">
        <v>1</v>
      </c>
      <c r="L6" s="37" t="s">
        <v>29</v>
      </c>
      <c r="M6" s="38">
        <v>21</v>
      </c>
      <c r="N6" s="39"/>
      <c r="O6" s="39"/>
      <c r="P6" s="40">
        <f>M6</f>
        <v>21</v>
      </c>
      <c r="Q6" s="41" t="e">
        <f>#REF!</f>
        <v>#REF!</v>
      </c>
      <c r="R6" s="42" t="e">
        <f>+Data4[[#This Row],[TOTAL CS IN (MC)]]-Data4[[#This Row],[TOTAL CS OUT (MC)]]</f>
        <v>#REF!</v>
      </c>
      <c r="S6" s="43"/>
    </row>
    <row r="7" spans="1:19" s="44" customFormat="1" ht="40.200000000000003" customHeight="1" x14ac:dyDescent="0.3">
      <c r="A7" s="45"/>
      <c r="B7" s="30" t="s">
        <v>37</v>
      </c>
      <c r="C7" s="31" t="s">
        <v>38</v>
      </c>
      <c r="D7" s="32" t="s">
        <v>34</v>
      </c>
      <c r="E7" s="33" t="e">
        <f>IF(AND(D7&lt;&gt;"",#REF!&lt;&gt; ""), SUBSTITUTE(D7, " KG", "") *#REF!, "")</f>
        <v>#REF!</v>
      </c>
      <c r="F7" s="33"/>
      <c r="G7" s="34" t="s">
        <v>39</v>
      </c>
      <c r="H7" s="33"/>
      <c r="I7" s="35" t="s">
        <v>40</v>
      </c>
      <c r="J7" s="36">
        <v>226</v>
      </c>
      <c r="K7" s="36">
        <v>1</v>
      </c>
      <c r="L7" s="37" t="s">
        <v>29</v>
      </c>
      <c r="M7" s="38">
        <v>30</v>
      </c>
      <c r="N7" s="39"/>
      <c r="O7" s="39"/>
      <c r="P7" s="40">
        <f>M7</f>
        <v>30</v>
      </c>
      <c r="Q7" s="41" t="e">
        <f>#REF!</f>
        <v>#REF!</v>
      </c>
      <c r="R7" s="42" t="e">
        <f>+Data4[[#This Row],[TOTAL CS IN (MC)]]-Data4[[#This Row],[TOTAL CS OUT (MC)]]</f>
        <v>#REF!</v>
      </c>
      <c r="S7" s="43"/>
    </row>
    <row r="8" spans="1:19" s="44" customFormat="1" ht="40.200000000000003" customHeight="1" x14ac:dyDescent="0.3">
      <c r="A8" s="45"/>
      <c r="B8" s="30" t="s">
        <v>24</v>
      </c>
      <c r="C8" s="31" t="s">
        <v>25</v>
      </c>
      <c r="D8" s="32" t="s">
        <v>26</v>
      </c>
      <c r="E8" s="33" t="e">
        <f>IF(AND(D8&lt;&gt;"",#REF!&lt;&gt; ""), SUBSTITUTE(D8, " KG", "") *#REF!, "")</f>
        <v>#REF!</v>
      </c>
      <c r="F8" s="33"/>
      <c r="G8" s="34"/>
      <c r="H8" s="33" t="s">
        <v>27</v>
      </c>
      <c r="I8" s="35" t="s">
        <v>41</v>
      </c>
      <c r="J8" s="36">
        <v>388</v>
      </c>
      <c r="K8" s="36">
        <v>1</v>
      </c>
      <c r="L8" s="37" t="s">
        <v>29</v>
      </c>
      <c r="M8" s="38">
        <v>80</v>
      </c>
      <c r="N8" s="39"/>
      <c r="O8" s="39"/>
      <c r="P8" s="40">
        <f>M8</f>
        <v>80</v>
      </c>
      <c r="Q8" s="41" t="e">
        <f>#REF!</f>
        <v>#REF!</v>
      </c>
      <c r="R8" s="42" t="e">
        <f>+Data4[[#This Row],[TOTAL CS IN (MC)]]-Data4[[#This Row],[TOTAL CS OUT (MC)]]</f>
        <v>#REF!</v>
      </c>
      <c r="S8" s="43"/>
    </row>
    <row r="9" spans="1:19" s="44" customFormat="1" ht="40.200000000000003" customHeight="1" x14ac:dyDescent="0.3">
      <c r="A9" s="45"/>
      <c r="B9" s="30" t="s">
        <v>24</v>
      </c>
      <c r="C9" s="31" t="s">
        <v>25</v>
      </c>
      <c r="D9" s="32" t="s">
        <v>26</v>
      </c>
      <c r="E9" s="33" t="e">
        <f>IF(AND(D9&lt;&gt;"",#REF!&lt;&gt; ""), SUBSTITUTE(D9, " KG", "") *#REF!, "")</f>
        <v>#REF!</v>
      </c>
      <c r="F9" s="33"/>
      <c r="G9" s="34"/>
      <c r="H9" s="33" t="s">
        <v>27</v>
      </c>
      <c r="I9" s="35" t="s">
        <v>42</v>
      </c>
      <c r="J9" s="36">
        <v>836</v>
      </c>
      <c r="K9" s="36">
        <v>1</v>
      </c>
      <c r="L9" s="37" t="s">
        <v>29</v>
      </c>
      <c r="M9" s="38">
        <v>54</v>
      </c>
      <c r="N9" s="39"/>
      <c r="O9" s="39"/>
      <c r="P9" s="40">
        <f>M9</f>
        <v>54</v>
      </c>
      <c r="Q9" s="41" t="e">
        <f>#REF!</f>
        <v>#REF!</v>
      </c>
      <c r="R9" s="42" t="e">
        <f>+Data4[[#This Row],[TOTAL CS IN (MC)]]-Data4[[#This Row],[TOTAL CS OUT (MC)]]</f>
        <v>#REF!</v>
      </c>
      <c r="S9" s="43"/>
    </row>
    <row r="10" spans="1:19" s="44" customFormat="1" ht="40.200000000000003" customHeight="1" x14ac:dyDescent="0.3">
      <c r="A10" s="45"/>
      <c r="B10" s="30" t="s">
        <v>24</v>
      </c>
      <c r="C10" s="31" t="s">
        <v>43</v>
      </c>
      <c r="D10" s="32" t="s">
        <v>26</v>
      </c>
      <c r="E10" s="33" t="e">
        <f>IF(AND(D10&lt;&gt;"",#REF!&lt;&gt; ""), SUBSTITUTE(D10, " KG", "") *#REF!, "")</f>
        <v>#REF!</v>
      </c>
      <c r="F10" s="33"/>
      <c r="G10" s="34"/>
      <c r="H10" s="33" t="s">
        <v>27</v>
      </c>
      <c r="I10" s="35" t="s">
        <v>44</v>
      </c>
      <c r="J10" s="36">
        <v>637</v>
      </c>
      <c r="K10" s="36">
        <v>1</v>
      </c>
      <c r="L10" s="37" t="s">
        <v>29</v>
      </c>
      <c r="M10" s="38">
        <v>55</v>
      </c>
      <c r="N10" s="39"/>
      <c r="O10" s="39"/>
      <c r="P10" s="40">
        <f>M10</f>
        <v>55</v>
      </c>
      <c r="Q10" s="41" t="e">
        <f>#REF!</f>
        <v>#REF!</v>
      </c>
      <c r="R10" s="42" t="e">
        <f>+Data4[[#This Row],[TOTAL CS IN (MC)]]-Data4[[#This Row],[TOTAL CS OUT (MC)]]</f>
        <v>#REF!</v>
      </c>
      <c r="S10" s="43"/>
    </row>
    <row r="11" spans="1:19" s="44" customFormat="1" ht="40.200000000000003" customHeight="1" x14ac:dyDescent="0.3">
      <c r="A11" s="45"/>
      <c r="B11" s="30" t="s">
        <v>45</v>
      </c>
      <c r="C11" s="31" t="s">
        <v>46</v>
      </c>
      <c r="D11" s="32" t="s">
        <v>47</v>
      </c>
      <c r="E11" s="33" t="e">
        <f>IF(AND(D11&lt;&gt;"",#REF!&lt;&gt; ""), SUBSTITUTE(D11, " KG", "") *#REF!, "")</f>
        <v>#REF!</v>
      </c>
      <c r="F11" s="33"/>
      <c r="G11" s="34"/>
      <c r="H11" s="33"/>
      <c r="I11" s="35" t="s">
        <v>48</v>
      </c>
      <c r="J11" s="36">
        <v>129</v>
      </c>
      <c r="K11" s="36">
        <v>1</v>
      </c>
      <c r="L11" s="37" t="s">
        <v>29</v>
      </c>
      <c r="M11" s="38">
        <v>1</v>
      </c>
      <c r="N11" s="39"/>
      <c r="O11" s="39"/>
      <c r="P11" s="40">
        <f>M11</f>
        <v>1</v>
      </c>
      <c r="Q11" s="41" t="e">
        <f>#REF!</f>
        <v>#REF!</v>
      </c>
      <c r="R11" s="42" t="e">
        <f>+Data4[[#This Row],[TOTAL CS IN (MC)]]-Data4[[#This Row],[TOTAL CS OUT (MC)]]</f>
        <v>#REF!</v>
      </c>
      <c r="S11" s="43"/>
    </row>
    <row r="12" spans="1:19" s="44" customFormat="1" ht="40.200000000000003" customHeight="1" x14ac:dyDescent="0.3">
      <c r="A12" s="45"/>
      <c r="B12" s="30" t="s">
        <v>49</v>
      </c>
      <c r="C12" s="31" t="s">
        <v>33</v>
      </c>
      <c r="D12" s="32" t="s">
        <v>34</v>
      </c>
      <c r="E12" s="33" t="e">
        <f>IF(AND(D12&lt;&gt;"",#REF!&lt;&gt; ""), SUBSTITUTE(D12, " KG", "") *#REF!, "")</f>
        <v>#REF!</v>
      </c>
      <c r="F12" s="33" t="s">
        <v>50</v>
      </c>
      <c r="G12" s="34"/>
      <c r="H12" s="33"/>
      <c r="I12" s="35" t="s">
        <v>48</v>
      </c>
      <c r="J12" s="36">
        <v>129</v>
      </c>
      <c r="K12" s="36"/>
      <c r="L12" s="37" t="s">
        <v>29</v>
      </c>
      <c r="M12" s="38">
        <v>9</v>
      </c>
      <c r="N12" s="39"/>
      <c r="O12" s="39"/>
      <c r="P12" s="40">
        <f>M12</f>
        <v>9</v>
      </c>
      <c r="Q12" s="41" t="e">
        <f>#REF!</f>
        <v>#REF!</v>
      </c>
      <c r="R12" s="42" t="e">
        <f>+Data4[[#This Row],[TOTAL CS IN (MC)]]-Data4[[#This Row],[TOTAL CS OUT (MC)]]</f>
        <v>#REF!</v>
      </c>
      <c r="S12" s="43"/>
    </row>
    <row r="13" spans="1:19" s="44" customFormat="1" ht="40.200000000000003" customHeight="1" x14ac:dyDescent="0.3">
      <c r="A13" s="45"/>
      <c r="B13" s="30" t="s">
        <v>49</v>
      </c>
      <c r="C13" s="31" t="s">
        <v>33</v>
      </c>
      <c r="D13" s="32" t="s">
        <v>34</v>
      </c>
      <c r="E13" s="33" t="e">
        <f>IF(AND(D13&lt;&gt;"",#REF!&lt;&gt; ""), SUBSTITUTE(D13, " KG", "") *#REF!, "")</f>
        <v>#REF!</v>
      </c>
      <c r="F13" s="33"/>
      <c r="G13" s="34" t="s">
        <v>51</v>
      </c>
      <c r="H13" s="33"/>
      <c r="I13" s="35" t="s">
        <v>48</v>
      </c>
      <c r="J13" s="36">
        <v>129</v>
      </c>
      <c r="K13" s="36"/>
      <c r="L13" s="37" t="s">
        <v>29</v>
      </c>
      <c r="M13" s="38">
        <v>8</v>
      </c>
      <c r="N13" s="39"/>
      <c r="O13" s="39"/>
      <c r="P13" s="40">
        <f>M13</f>
        <v>8</v>
      </c>
      <c r="Q13" s="41" t="e">
        <f>#REF!</f>
        <v>#REF!</v>
      </c>
      <c r="R13" s="42" t="e">
        <f>+Data4[[#This Row],[TOTAL CS IN (MC)]]-Data4[[#This Row],[TOTAL CS OUT (MC)]]</f>
        <v>#REF!</v>
      </c>
      <c r="S13" s="43"/>
    </row>
    <row r="14" spans="1:19" s="44" customFormat="1" ht="40.200000000000003" customHeight="1" x14ac:dyDescent="0.3">
      <c r="A14" s="45"/>
      <c r="B14" s="30" t="s">
        <v>49</v>
      </c>
      <c r="C14" s="31" t="s">
        <v>33</v>
      </c>
      <c r="D14" s="32" t="s">
        <v>34</v>
      </c>
      <c r="E14" s="33" t="e">
        <f>IF(AND(D14&lt;&gt;"",#REF!&lt;&gt; ""), SUBSTITUTE(D14, " KG", "") *#REF!, "")</f>
        <v>#REF!</v>
      </c>
      <c r="F14" s="33"/>
      <c r="G14" s="34" t="s">
        <v>51</v>
      </c>
      <c r="H14" s="33"/>
      <c r="I14" s="35" t="s">
        <v>48</v>
      </c>
      <c r="J14" s="36">
        <v>129</v>
      </c>
      <c r="K14" s="36"/>
      <c r="L14" s="37" t="s">
        <v>29</v>
      </c>
      <c r="M14" s="38">
        <v>1</v>
      </c>
      <c r="N14" s="39"/>
      <c r="O14" s="39"/>
      <c r="P14" s="40">
        <f>M14</f>
        <v>1</v>
      </c>
      <c r="Q14" s="41" t="e">
        <f>#REF!</f>
        <v>#REF!</v>
      </c>
      <c r="R14" s="42" t="e">
        <f>+Data4[[#This Row],[TOTAL CS IN (MC)]]-Data4[[#This Row],[TOTAL CS OUT (MC)]]</f>
        <v>#REF!</v>
      </c>
      <c r="S14" s="43"/>
    </row>
    <row r="15" spans="1:19" s="44" customFormat="1" ht="40.200000000000003" customHeight="1" x14ac:dyDescent="0.3">
      <c r="A15" s="45"/>
      <c r="B15" s="30" t="s">
        <v>52</v>
      </c>
      <c r="C15" s="31" t="s">
        <v>53</v>
      </c>
      <c r="D15" s="32" t="s">
        <v>34</v>
      </c>
      <c r="E15" s="33" t="e">
        <f>IF(AND(D15&lt;&gt;"",#REF!&lt;&gt; ""), SUBSTITUTE(D15, " KG", "") *#REF!, "")</f>
        <v>#REF!</v>
      </c>
      <c r="F15" s="33"/>
      <c r="G15" s="34" t="s">
        <v>54</v>
      </c>
      <c r="H15" s="33"/>
      <c r="I15" s="35" t="s">
        <v>48</v>
      </c>
      <c r="J15" s="36">
        <v>129</v>
      </c>
      <c r="K15" s="36"/>
      <c r="L15" s="37" t="s">
        <v>29</v>
      </c>
      <c r="M15" s="38">
        <v>16</v>
      </c>
      <c r="N15" s="39"/>
      <c r="O15" s="39"/>
      <c r="P15" s="40">
        <f>M15</f>
        <v>16</v>
      </c>
      <c r="Q15" s="41" t="e">
        <f>#REF!</f>
        <v>#REF!</v>
      </c>
      <c r="R15" s="42" t="e">
        <f>+Data4[[#This Row],[TOTAL CS IN (MC)]]-Data4[[#This Row],[TOTAL CS OUT (MC)]]</f>
        <v>#REF!</v>
      </c>
      <c r="S15" s="43"/>
    </row>
    <row r="16" spans="1:19" s="44" customFormat="1" ht="40.200000000000003" customHeight="1" x14ac:dyDescent="0.3">
      <c r="A16" s="45"/>
      <c r="B16" s="30" t="s">
        <v>55</v>
      </c>
      <c r="C16" s="31" t="s">
        <v>56</v>
      </c>
      <c r="D16" s="32" t="s">
        <v>34</v>
      </c>
      <c r="E16" s="33" t="e">
        <f>IF(AND(D16&lt;&gt;"",#REF!&lt;&gt; ""), SUBSTITUTE(D16, " KG", "") *#REF!, "")</f>
        <v>#REF!</v>
      </c>
      <c r="F16" s="33"/>
      <c r="G16" s="34" t="s">
        <v>39</v>
      </c>
      <c r="H16" s="33" t="s">
        <v>57</v>
      </c>
      <c r="I16" s="35" t="s">
        <v>58</v>
      </c>
      <c r="J16" s="36">
        <v>839</v>
      </c>
      <c r="K16" s="36">
        <v>1</v>
      </c>
      <c r="L16" s="37" t="s">
        <v>29</v>
      </c>
      <c r="M16" s="38">
        <v>52</v>
      </c>
      <c r="N16" s="39"/>
      <c r="O16" s="39"/>
      <c r="P16" s="40">
        <f>M16</f>
        <v>52</v>
      </c>
      <c r="Q16" s="41" t="e">
        <f>#REF!</f>
        <v>#REF!</v>
      </c>
      <c r="R16" s="42" t="e">
        <f>+Data4[[#This Row],[TOTAL CS IN (MC)]]-Data4[[#This Row],[TOTAL CS OUT (MC)]]</f>
        <v>#REF!</v>
      </c>
      <c r="S16" s="43"/>
    </row>
    <row r="17" spans="1:19" s="44" customFormat="1" ht="40.200000000000003" customHeight="1" x14ac:dyDescent="0.3">
      <c r="A17" s="45"/>
      <c r="B17" s="30" t="s">
        <v>32</v>
      </c>
      <c r="C17" s="31" t="s">
        <v>33</v>
      </c>
      <c r="D17" s="32" t="s">
        <v>34</v>
      </c>
      <c r="E17" s="33" t="e">
        <f>IF(AND(D17&lt;&gt;"",#REF!&lt;&gt; ""), SUBSTITUTE(D17, " KG", "") *#REF!, "")</f>
        <v>#REF!</v>
      </c>
      <c r="F17" s="33"/>
      <c r="G17" s="34" t="s">
        <v>35</v>
      </c>
      <c r="H17" s="33"/>
      <c r="I17" s="35" t="s">
        <v>59</v>
      </c>
      <c r="J17" s="36">
        <v>112</v>
      </c>
      <c r="K17" s="36">
        <v>1</v>
      </c>
      <c r="L17" s="37" t="s">
        <v>29</v>
      </c>
      <c r="M17" s="38">
        <v>48</v>
      </c>
      <c r="N17" s="39"/>
      <c r="O17" s="39"/>
      <c r="P17" s="40">
        <f>M17</f>
        <v>48</v>
      </c>
      <c r="Q17" s="41" t="e">
        <f>#REF!</f>
        <v>#REF!</v>
      </c>
      <c r="R17" s="42" t="e">
        <f>+Data4[[#This Row],[TOTAL CS IN (MC)]]-Data4[[#This Row],[TOTAL CS OUT (MC)]]</f>
        <v>#REF!</v>
      </c>
      <c r="S17" s="43"/>
    </row>
    <row r="18" spans="1:19" s="44" customFormat="1" ht="40.200000000000003" customHeight="1" x14ac:dyDescent="0.3">
      <c r="A18" s="45"/>
      <c r="B18" s="30" t="s">
        <v>60</v>
      </c>
      <c r="C18" s="31" t="s">
        <v>61</v>
      </c>
      <c r="D18" s="32" t="s">
        <v>34</v>
      </c>
      <c r="E18" s="33" t="e">
        <f>IF(AND(D18&lt;&gt;"",#REF!&lt;&gt; ""), SUBSTITUTE(D18, " KG", "") *#REF!, "")</f>
        <v>#REF!</v>
      </c>
      <c r="F18" s="33"/>
      <c r="G18" s="34" t="s">
        <v>51</v>
      </c>
      <c r="H18" s="33"/>
      <c r="I18" s="35" t="s">
        <v>62</v>
      </c>
      <c r="J18" s="36">
        <v>532</v>
      </c>
      <c r="K18" s="36">
        <v>1</v>
      </c>
      <c r="L18" s="37" t="s">
        <v>29</v>
      </c>
      <c r="M18" s="38">
        <v>20</v>
      </c>
      <c r="N18" s="39"/>
      <c r="O18" s="39"/>
      <c r="P18" s="40">
        <f>M18</f>
        <v>20</v>
      </c>
      <c r="Q18" s="41" t="e">
        <f>#REF!</f>
        <v>#REF!</v>
      </c>
      <c r="R18" s="42" t="e">
        <f>+Data4[[#This Row],[TOTAL CS IN (MC)]]-Data4[[#This Row],[TOTAL CS OUT (MC)]]</f>
        <v>#REF!</v>
      </c>
      <c r="S18" s="43"/>
    </row>
    <row r="19" spans="1:19" s="44" customFormat="1" ht="40.200000000000003" customHeight="1" x14ac:dyDescent="0.3">
      <c r="A19" s="45"/>
      <c r="B19" s="30" t="s">
        <v>63</v>
      </c>
      <c r="C19" s="31" t="s">
        <v>61</v>
      </c>
      <c r="D19" s="32" t="s">
        <v>34</v>
      </c>
      <c r="E19" s="33" t="e">
        <f>IF(AND(D19&lt;&gt;"",#REF!&lt;&gt; ""), SUBSTITUTE(D19, " KG", "") *#REF!, "")</f>
        <v>#REF!</v>
      </c>
      <c r="F19" s="33"/>
      <c r="G19" s="34" t="s">
        <v>51</v>
      </c>
      <c r="H19" s="33"/>
      <c r="I19" s="35" t="s">
        <v>62</v>
      </c>
      <c r="J19" s="36">
        <v>532</v>
      </c>
      <c r="K19" s="36"/>
      <c r="L19" s="37" t="s">
        <v>29</v>
      </c>
      <c r="M19" s="38">
        <v>18</v>
      </c>
      <c r="N19" s="39"/>
      <c r="O19" s="39"/>
      <c r="P19" s="40">
        <f>M19</f>
        <v>18</v>
      </c>
      <c r="Q19" s="41" t="e">
        <f>#REF!</f>
        <v>#REF!</v>
      </c>
      <c r="R19" s="42" t="e">
        <f>+Data4[[#This Row],[TOTAL CS IN (MC)]]-Data4[[#This Row],[TOTAL CS OUT (MC)]]</f>
        <v>#REF!</v>
      </c>
      <c r="S19" s="43"/>
    </row>
    <row r="20" spans="1:19" s="44" customFormat="1" ht="40.200000000000003" customHeight="1" x14ac:dyDescent="0.3">
      <c r="A20" s="45"/>
      <c r="B20" s="30" t="s">
        <v>63</v>
      </c>
      <c r="C20" s="31" t="s">
        <v>64</v>
      </c>
      <c r="D20" s="32" t="s">
        <v>34</v>
      </c>
      <c r="E20" s="33" t="e">
        <f>IF(AND(D20&lt;&gt;"",#REF!&lt;&gt; ""), SUBSTITUTE(D20, " KG", "") *#REF!, "")</f>
        <v>#REF!</v>
      </c>
      <c r="F20" s="33"/>
      <c r="G20" s="34" t="s">
        <v>51</v>
      </c>
      <c r="H20" s="33"/>
      <c r="I20" s="35" t="s">
        <v>62</v>
      </c>
      <c r="J20" s="36">
        <v>532</v>
      </c>
      <c r="K20" s="36"/>
      <c r="L20" s="37" t="s">
        <v>29</v>
      </c>
      <c r="M20" s="38">
        <v>7</v>
      </c>
      <c r="N20" s="39"/>
      <c r="O20" s="39"/>
      <c r="P20" s="40">
        <f>M20</f>
        <v>7</v>
      </c>
      <c r="Q20" s="41" t="e">
        <f>#REF!</f>
        <v>#REF!</v>
      </c>
      <c r="R20" s="42" t="e">
        <f>+Data4[[#This Row],[TOTAL CS IN (MC)]]-Data4[[#This Row],[TOTAL CS OUT (MC)]]</f>
        <v>#REF!</v>
      </c>
      <c r="S20" s="43"/>
    </row>
    <row r="21" spans="1:19" s="44" customFormat="1" ht="40.200000000000003" customHeight="1" x14ac:dyDescent="0.3">
      <c r="A21" s="45"/>
      <c r="B21" s="30"/>
      <c r="C21" s="46"/>
      <c r="D21" s="33"/>
      <c r="E21" s="33" t="e">
        <f>IF(AND(D21&lt;&gt;"",#REF!&lt;&gt; ""), SUBSTITUTE(D21, " KG", "") *#REF!, "")</f>
        <v>#REF!</v>
      </c>
      <c r="F21" s="33"/>
      <c r="G21" s="34"/>
      <c r="H21" s="33"/>
      <c r="I21" s="35"/>
      <c r="J21" s="36"/>
      <c r="K21" s="36"/>
      <c r="L21" s="37"/>
      <c r="M21" s="38"/>
      <c r="N21" s="39"/>
      <c r="O21" s="39"/>
      <c r="P21" s="40">
        <f>M21</f>
        <v>0</v>
      </c>
      <c r="Q21" s="41" t="e">
        <f>#REF!</f>
        <v>#REF!</v>
      </c>
      <c r="R21" s="42" t="e">
        <f>+Data4[[#This Row],[TOTAL CS IN (MC)]]-Data4[[#This Row],[TOTAL CS OUT (MC)]]</f>
        <v>#REF!</v>
      </c>
      <c r="S21" s="43"/>
    </row>
    <row r="22" spans="1:19" s="44" customFormat="1" ht="39.75" customHeight="1" x14ac:dyDescent="0.3">
      <c r="A22" s="45"/>
      <c r="B22" s="30" t="s">
        <v>65</v>
      </c>
      <c r="C22" s="46" t="s">
        <v>66</v>
      </c>
      <c r="D22" s="32" t="s">
        <v>66</v>
      </c>
      <c r="E22" s="33" t="e">
        <f>IF(AND(D22&lt;&gt;"",#REF!&lt;&gt; ""), SUBSTITUTE(D22, " KG", "") *#REF!, "")</f>
        <v>#REF!</v>
      </c>
      <c r="F22" s="33"/>
      <c r="G22" s="34"/>
      <c r="H22" s="33"/>
      <c r="I22" s="35" t="s">
        <v>67</v>
      </c>
      <c r="J22" s="36">
        <v>802</v>
      </c>
      <c r="K22" s="36">
        <v>1</v>
      </c>
      <c r="L22" s="37" t="s">
        <v>29</v>
      </c>
      <c r="M22" s="38">
        <v>54</v>
      </c>
      <c r="N22" s="39"/>
      <c r="O22" s="39"/>
      <c r="P22" s="40">
        <f>M22</f>
        <v>54</v>
      </c>
      <c r="Q22" s="41" t="e">
        <f>#REF!</f>
        <v>#REF!</v>
      </c>
      <c r="R22" s="42" t="e">
        <f>+Data4[[#This Row],[TOTAL CS IN (MC)]]-Data4[[#This Row],[TOTAL CS OUT (MC)]]</f>
        <v>#REF!</v>
      </c>
      <c r="S22" s="43"/>
    </row>
    <row r="23" spans="1:19" s="44" customFormat="1" ht="39.75" customHeight="1" x14ac:dyDescent="0.3">
      <c r="A23" s="45"/>
      <c r="B23" s="30" t="s">
        <v>65</v>
      </c>
      <c r="C23" s="46" t="s">
        <v>66</v>
      </c>
      <c r="D23" s="32" t="s">
        <v>66</v>
      </c>
      <c r="E23" s="33" t="e">
        <f>IF(AND(D23&lt;&gt;"",#REF!&lt;&gt; ""), SUBSTITUTE(D23, " KG", "") *#REF!, "")</f>
        <v>#REF!</v>
      </c>
      <c r="F23" s="33"/>
      <c r="G23" s="34"/>
      <c r="H23" s="33"/>
      <c r="I23" s="35" t="s">
        <v>68</v>
      </c>
      <c r="J23" s="36">
        <v>951</v>
      </c>
      <c r="K23" s="36">
        <v>1</v>
      </c>
      <c r="L23" s="37" t="s">
        <v>29</v>
      </c>
      <c r="M23" s="38">
        <v>51</v>
      </c>
      <c r="N23" s="39"/>
      <c r="O23" s="39"/>
      <c r="P23" s="40">
        <f>M23</f>
        <v>51</v>
      </c>
      <c r="Q23" s="41" t="e">
        <f>#REF!</f>
        <v>#REF!</v>
      </c>
      <c r="R23" s="42" t="e">
        <f>+Data4[[#This Row],[TOTAL CS IN (MC)]]-Data4[[#This Row],[TOTAL CS OUT (MC)]]</f>
        <v>#REF!</v>
      </c>
      <c r="S23" s="43"/>
    </row>
    <row r="24" spans="1:19" s="44" customFormat="1" ht="39.75" customHeight="1" x14ac:dyDescent="0.3">
      <c r="A24" s="45"/>
      <c r="B24" s="30" t="s">
        <v>65</v>
      </c>
      <c r="C24" s="46" t="s">
        <v>66</v>
      </c>
      <c r="D24" s="32" t="s">
        <v>66</v>
      </c>
      <c r="E24" s="33" t="e">
        <f>IF(AND(D24&lt;&gt;"",#REF!&lt;&gt; ""), SUBSTITUTE(D24, " KG", "") *#REF!, "")</f>
        <v>#REF!</v>
      </c>
      <c r="F24" s="33"/>
      <c r="G24" s="34"/>
      <c r="H24" s="33"/>
      <c r="I24" s="35" t="s">
        <v>69</v>
      </c>
      <c r="J24" s="36">
        <v>142</v>
      </c>
      <c r="K24" s="36">
        <v>1</v>
      </c>
      <c r="L24" s="37" t="s">
        <v>29</v>
      </c>
      <c r="M24" s="38">
        <v>55</v>
      </c>
      <c r="N24" s="39"/>
      <c r="O24" s="39"/>
      <c r="P24" s="40">
        <f>M24</f>
        <v>55</v>
      </c>
      <c r="Q24" s="41" t="e">
        <f>#REF!</f>
        <v>#REF!</v>
      </c>
      <c r="R24" s="42" t="e">
        <f>+Data4[[#This Row],[TOTAL CS IN (MC)]]-Data4[[#This Row],[TOTAL CS OUT (MC)]]</f>
        <v>#REF!</v>
      </c>
      <c r="S24" s="43"/>
    </row>
    <row r="25" spans="1:19" s="44" customFormat="1" ht="39.75" customHeight="1" x14ac:dyDescent="0.3">
      <c r="A25" s="45"/>
      <c r="B25" s="30" t="s">
        <v>55</v>
      </c>
      <c r="C25" s="46" t="s">
        <v>33</v>
      </c>
      <c r="D25" s="32" t="s">
        <v>34</v>
      </c>
      <c r="E25" s="33" t="e">
        <f>IF(AND(D25&lt;&gt;"",#REF!&lt;&gt; ""), SUBSTITUTE(D25, " KG", "") *#REF!, "")</f>
        <v>#REF!</v>
      </c>
      <c r="F25" s="33"/>
      <c r="G25" s="34" t="s">
        <v>35</v>
      </c>
      <c r="H25" s="33"/>
      <c r="I25" s="35" t="s">
        <v>70</v>
      </c>
      <c r="J25" s="36">
        <v>252</v>
      </c>
      <c r="K25" s="36">
        <v>1</v>
      </c>
      <c r="L25" s="37" t="s">
        <v>29</v>
      </c>
      <c r="M25" s="38">
        <v>33</v>
      </c>
      <c r="N25" s="39"/>
      <c r="O25" s="39"/>
      <c r="P25" s="40">
        <f>M25</f>
        <v>33</v>
      </c>
      <c r="Q25" s="41" t="e">
        <f>#REF!</f>
        <v>#REF!</v>
      </c>
      <c r="R25" s="42" t="e">
        <f>+Data4[[#This Row],[TOTAL CS IN (MC)]]-Data4[[#This Row],[TOTAL CS OUT (MC)]]</f>
        <v>#REF!</v>
      </c>
      <c r="S25" s="43"/>
    </row>
    <row r="26" spans="1:19" s="44" customFormat="1" ht="39.75" customHeight="1" x14ac:dyDescent="0.3">
      <c r="A26" s="45"/>
      <c r="B26" s="30" t="s">
        <v>71</v>
      </c>
      <c r="C26" s="46" t="s">
        <v>66</v>
      </c>
      <c r="D26" s="32" t="s">
        <v>66</v>
      </c>
      <c r="E26" s="33" t="e">
        <f>IF(AND(D26&lt;&gt;"",#REF!&lt;&gt; ""), SUBSTITUTE(D26, " KG", "") *#REF!, "")</f>
        <v>#REF!</v>
      </c>
      <c r="F26" s="33"/>
      <c r="G26" s="34" t="s">
        <v>35</v>
      </c>
      <c r="H26" s="33"/>
      <c r="I26" s="35" t="s">
        <v>72</v>
      </c>
      <c r="J26" s="36">
        <v>298</v>
      </c>
      <c r="K26" s="36">
        <v>1</v>
      </c>
      <c r="L26" s="37" t="s">
        <v>29</v>
      </c>
      <c r="M26" s="38">
        <v>40</v>
      </c>
      <c r="N26" s="39"/>
      <c r="O26" s="39"/>
      <c r="P26" s="40">
        <f>M26</f>
        <v>40</v>
      </c>
      <c r="Q26" s="41" t="e">
        <f>#REF!</f>
        <v>#REF!</v>
      </c>
      <c r="R26" s="42" t="e">
        <f>+Data4[[#This Row],[TOTAL CS IN (MC)]]-Data4[[#This Row],[TOTAL CS OUT (MC)]]</f>
        <v>#REF!</v>
      </c>
      <c r="S26" s="43"/>
    </row>
    <row r="27" spans="1:19" s="44" customFormat="1" ht="39.75" customHeight="1" x14ac:dyDescent="0.3">
      <c r="A27" s="45"/>
      <c r="B27" s="30" t="s">
        <v>71</v>
      </c>
      <c r="C27" s="46" t="s">
        <v>66</v>
      </c>
      <c r="D27" s="32" t="s">
        <v>66</v>
      </c>
      <c r="E27" s="33" t="e">
        <f>IF(AND(D27&lt;&gt;"",#REF!&lt;&gt; ""), SUBSTITUTE(D27, " KG", "") *#REF!, "")</f>
        <v>#REF!</v>
      </c>
      <c r="F27" s="33"/>
      <c r="G27" s="34"/>
      <c r="H27" s="33"/>
      <c r="I27" s="35" t="s">
        <v>73</v>
      </c>
      <c r="J27" s="36">
        <v>548</v>
      </c>
      <c r="K27" s="36">
        <v>1</v>
      </c>
      <c r="L27" s="37" t="s">
        <v>29</v>
      </c>
      <c r="M27" s="38">
        <v>51</v>
      </c>
      <c r="N27" s="39"/>
      <c r="O27" s="39"/>
      <c r="P27" s="40">
        <f>M27</f>
        <v>51</v>
      </c>
      <c r="Q27" s="41" t="e">
        <f>#REF!</f>
        <v>#REF!</v>
      </c>
      <c r="R27" s="42" t="e">
        <f>+Data4[[#This Row],[TOTAL CS IN (MC)]]-Data4[[#This Row],[TOTAL CS OUT (MC)]]</f>
        <v>#REF!</v>
      </c>
      <c r="S27" s="43"/>
    </row>
    <row r="28" spans="1:19" s="44" customFormat="1" ht="39.75" customHeight="1" x14ac:dyDescent="0.3">
      <c r="A28" s="45"/>
      <c r="B28" s="30" t="s">
        <v>71</v>
      </c>
      <c r="C28" s="46" t="s">
        <v>66</v>
      </c>
      <c r="D28" s="32" t="s">
        <v>66</v>
      </c>
      <c r="E28" s="33" t="e">
        <f>IF(AND(D28&lt;&gt;"",#REF!&lt;&gt; ""), SUBSTITUTE(D28, " KG", "") *#REF!, "")</f>
        <v>#REF!</v>
      </c>
      <c r="F28" s="33"/>
      <c r="G28" s="34"/>
      <c r="H28" s="33"/>
      <c r="I28" s="35" t="s">
        <v>74</v>
      </c>
      <c r="J28" s="36">
        <v>253</v>
      </c>
      <c r="K28" s="36">
        <v>1</v>
      </c>
      <c r="L28" s="37" t="s">
        <v>29</v>
      </c>
      <c r="M28" s="38">
        <v>55</v>
      </c>
      <c r="N28" s="39"/>
      <c r="O28" s="39"/>
      <c r="P28" s="40">
        <f>M28</f>
        <v>55</v>
      </c>
      <c r="Q28" s="41" t="e">
        <f>#REF!</f>
        <v>#REF!</v>
      </c>
      <c r="R28" s="42" t="e">
        <f>+Data4[[#This Row],[TOTAL CS IN (MC)]]-Data4[[#This Row],[TOTAL CS OUT (MC)]]</f>
        <v>#REF!</v>
      </c>
      <c r="S28" s="43"/>
    </row>
    <row r="29" spans="1:19" s="44" customFormat="1" ht="39.75" customHeight="1" x14ac:dyDescent="0.3">
      <c r="A29" s="45"/>
      <c r="B29" s="30" t="s">
        <v>71</v>
      </c>
      <c r="C29" s="46" t="s">
        <v>66</v>
      </c>
      <c r="D29" s="32" t="s">
        <v>66</v>
      </c>
      <c r="E29" s="33" t="e">
        <f>IF(AND(D29&lt;&gt;"",#REF!&lt;&gt; ""), SUBSTITUTE(D29, " KG", "") *#REF!, "")</f>
        <v>#REF!</v>
      </c>
      <c r="F29" s="33"/>
      <c r="G29" s="34"/>
      <c r="H29" s="33"/>
      <c r="I29" s="35" t="s">
        <v>75</v>
      </c>
      <c r="J29" s="36">
        <v>556</v>
      </c>
      <c r="K29" s="36">
        <v>1</v>
      </c>
      <c r="L29" s="37" t="s">
        <v>29</v>
      </c>
      <c r="M29" s="38">
        <v>55</v>
      </c>
      <c r="N29" s="39"/>
      <c r="O29" s="39"/>
      <c r="P29" s="40">
        <f>M29</f>
        <v>55</v>
      </c>
      <c r="Q29" s="41" t="e">
        <f>#REF!</f>
        <v>#REF!</v>
      </c>
      <c r="R29" s="42" t="e">
        <f>+Data4[[#This Row],[TOTAL CS IN (MC)]]-Data4[[#This Row],[TOTAL CS OUT (MC)]]</f>
        <v>#REF!</v>
      </c>
      <c r="S29" s="43"/>
    </row>
    <row r="30" spans="1:19" s="44" customFormat="1" ht="39.75" customHeight="1" x14ac:dyDescent="0.3">
      <c r="A30" s="45"/>
      <c r="B30" s="30" t="s">
        <v>71</v>
      </c>
      <c r="C30" s="46" t="s">
        <v>66</v>
      </c>
      <c r="D30" s="32" t="s">
        <v>66</v>
      </c>
      <c r="E30" s="33" t="e">
        <f>IF(AND(D30&lt;&gt;"",#REF!&lt;&gt; ""), SUBSTITUTE(D30, " KG", "") *#REF!, "")</f>
        <v>#REF!</v>
      </c>
      <c r="F30" s="33"/>
      <c r="G30" s="34"/>
      <c r="H30" s="33"/>
      <c r="I30" s="35" t="s">
        <v>76</v>
      </c>
      <c r="J30" s="36">
        <v>293</v>
      </c>
      <c r="K30" s="36">
        <v>1</v>
      </c>
      <c r="L30" s="37" t="s">
        <v>29</v>
      </c>
      <c r="M30" s="38">
        <v>42</v>
      </c>
      <c r="N30" s="39"/>
      <c r="O30" s="39"/>
      <c r="P30" s="40">
        <f>M30</f>
        <v>42</v>
      </c>
      <c r="Q30" s="41" t="e">
        <f>#REF!</f>
        <v>#REF!</v>
      </c>
      <c r="R30" s="42" t="e">
        <f>+Data4[[#This Row],[TOTAL CS IN (MC)]]-Data4[[#This Row],[TOTAL CS OUT (MC)]]</f>
        <v>#REF!</v>
      </c>
      <c r="S30" s="43"/>
    </row>
    <row r="31" spans="1:19" s="44" customFormat="1" ht="39.75" customHeight="1" x14ac:dyDescent="0.3">
      <c r="A31" s="45"/>
      <c r="B31" s="30" t="s">
        <v>71</v>
      </c>
      <c r="C31" s="46" t="s">
        <v>66</v>
      </c>
      <c r="D31" s="32" t="s">
        <v>66</v>
      </c>
      <c r="E31" s="33" t="e">
        <f>IF(AND(D31&lt;&gt;"",#REF!&lt;&gt; ""), SUBSTITUTE(D31, " KG", "") *#REF!, "")</f>
        <v>#REF!</v>
      </c>
      <c r="F31" s="33"/>
      <c r="G31" s="34"/>
      <c r="H31" s="33"/>
      <c r="I31" s="35" t="s">
        <v>77</v>
      </c>
      <c r="J31" s="36">
        <v>997</v>
      </c>
      <c r="K31" s="36">
        <v>1</v>
      </c>
      <c r="L31" s="37" t="s">
        <v>29</v>
      </c>
      <c r="M31" s="38">
        <v>48</v>
      </c>
      <c r="N31" s="39"/>
      <c r="O31" s="39"/>
      <c r="P31" s="40">
        <f>M31</f>
        <v>48</v>
      </c>
      <c r="Q31" s="41" t="e">
        <f>#REF!</f>
        <v>#REF!</v>
      </c>
      <c r="R31" s="42" t="e">
        <f>+Data4[[#This Row],[TOTAL CS IN (MC)]]-Data4[[#This Row],[TOTAL CS OUT (MC)]]</f>
        <v>#REF!</v>
      </c>
      <c r="S31" s="43"/>
    </row>
    <row r="32" spans="1:19" s="44" customFormat="1" ht="39.75" customHeight="1" x14ac:dyDescent="0.3">
      <c r="A32" s="45"/>
      <c r="B32" s="30" t="s">
        <v>71</v>
      </c>
      <c r="C32" s="46" t="s">
        <v>66</v>
      </c>
      <c r="D32" s="32" t="s">
        <v>66</v>
      </c>
      <c r="E32" s="33" t="e">
        <f>IF(AND(D32&lt;&gt;"",#REF!&lt;&gt; ""), SUBSTITUTE(D32, " KG", "") *#REF!, "")</f>
        <v>#REF!</v>
      </c>
      <c r="F32" s="33"/>
      <c r="G32" s="34"/>
      <c r="H32" s="33"/>
      <c r="I32" s="35" t="s">
        <v>78</v>
      </c>
      <c r="J32" s="36">
        <v>994</v>
      </c>
      <c r="K32" s="36">
        <v>1</v>
      </c>
      <c r="L32" s="37" t="s">
        <v>29</v>
      </c>
      <c r="M32" s="38">
        <v>55</v>
      </c>
      <c r="N32" s="39"/>
      <c r="O32" s="39"/>
      <c r="P32" s="40">
        <f>M32</f>
        <v>55</v>
      </c>
      <c r="Q32" s="41" t="e">
        <f>#REF!</f>
        <v>#REF!</v>
      </c>
      <c r="R32" s="42" t="e">
        <f>+Data4[[#This Row],[TOTAL CS IN (MC)]]-Data4[[#This Row],[TOTAL CS OUT (MC)]]</f>
        <v>#REF!</v>
      </c>
      <c r="S32" s="43"/>
    </row>
    <row r="33" spans="1:19" s="44" customFormat="1" ht="39.75" customHeight="1" x14ac:dyDescent="0.3">
      <c r="A33" s="45"/>
      <c r="B33" s="30" t="s">
        <v>71</v>
      </c>
      <c r="C33" s="46" t="s">
        <v>66</v>
      </c>
      <c r="D33" s="32" t="s">
        <v>66</v>
      </c>
      <c r="E33" s="33" t="e">
        <f>IF(AND(D33&lt;&gt;"",#REF!&lt;&gt; ""), SUBSTITUTE(D33, " KG", "") *#REF!, "")</f>
        <v>#REF!</v>
      </c>
      <c r="F33" s="33"/>
      <c r="G33" s="34"/>
      <c r="H33" s="33"/>
      <c r="I33" s="35" t="s">
        <v>79</v>
      </c>
      <c r="J33" s="36">
        <v>858</v>
      </c>
      <c r="K33" s="36">
        <v>1</v>
      </c>
      <c r="L33" s="37" t="s">
        <v>29</v>
      </c>
      <c r="M33" s="38">
        <v>50</v>
      </c>
      <c r="N33" s="39"/>
      <c r="O33" s="39"/>
      <c r="P33" s="40">
        <f>M33</f>
        <v>50</v>
      </c>
      <c r="Q33" s="41" t="e">
        <f>#REF!</f>
        <v>#REF!</v>
      </c>
      <c r="R33" s="42" t="e">
        <f>+Data4[[#This Row],[TOTAL CS IN (MC)]]-Data4[[#This Row],[TOTAL CS OUT (MC)]]</f>
        <v>#REF!</v>
      </c>
      <c r="S33" s="43"/>
    </row>
    <row r="34" spans="1:19" s="44" customFormat="1" ht="39.75" customHeight="1" x14ac:dyDescent="0.3">
      <c r="A34" s="45"/>
      <c r="B34" s="30" t="s">
        <v>65</v>
      </c>
      <c r="C34" s="46" t="s">
        <v>66</v>
      </c>
      <c r="D34" s="32" t="s">
        <v>66</v>
      </c>
      <c r="E34" s="33" t="e">
        <f>IF(AND(D34&lt;&gt;"",#REF!&lt;&gt; ""), SUBSTITUTE(D34, " KG", "") *#REF!, "")</f>
        <v>#REF!</v>
      </c>
      <c r="F34" s="33"/>
      <c r="G34" s="34"/>
      <c r="H34" s="33"/>
      <c r="I34" s="35" t="s">
        <v>80</v>
      </c>
      <c r="J34" s="36">
        <v>42</v>
      </c>
      <c r="K34" s="36">
        <v>1</v>
      </c>
      <c r="L34" s="37" t="s">
        <v>29</v>
      </c>
      <c r="M34" s="38">
        <v>50</v>
      </c>
      <c r="N34" s="39"/>
      <c r="O34" s="39"/>
      <c r="P34" s="40">
        <f>M34</f>
        <v>50</v>
      </c>
      <c r="Q34" s="41" t="e">
        <f>#REF!</f>
        <v>#REF!</v>
      </c>
      <c r="R34" s="42" t="e">
        <f>+Data4[[#This Row],[TOTAL CS IN (MC)]]-Data4[[#This Row],[TOTAL CS OUT (MC)]]</f>
        <v>#REF!</v>
      </c>
      <c r="S34" s="43"/>
    </row>
    <row r="35" spans="1:19" s="44" customFormat="1" ht="39.75" customHeight="1" x14ac:dyDescent="0.3">
      <c r="A35" s="45"/>
      <c r="B35" s="30" t="s">
        <v>71</v>
      </c>
      <c r="C35" s="46" t="s">
        <v>66</v>
      </c>
      <c r="D35" s="32" t="s">
        <v>66</v>
      </c>
      <c r="E35" s="33" t="e">
        <f>IF(AND(D35&lt;&gt;"",#REF!&lt;&gt; ""), SUBSTITUTE(D35, " KG", "") *#REF!, "")</f>
        <v>#REF!</v>
      </c>
      <c r="F35" s="33"/>
      <c r="G35" s="34"/>
      <c r="H35" s="33"/>
      <c r="I35" s="35" t="s">
        <v>81</v>
      </c>
      <c r="J35" s="36">
        <v>584</v>
      </c>
      <c r="K35" s="36">
        <v>1</v>
      </c>
      <c r="L35" s="37" t="s">
        <v>29</v>
      </c>
      <c r="M35" s="38">
        <v>49</v>
      </c>
      <c r="N35" s="39"/>
      <c r="O35" s="39"/>
      <c r="P35" s="40">
        <f>M35</f>
        <v>49</v>
      </c>
      <c r="Q35" s="41" t="e">
        <f>#REF!</f>
        <v>#REF!</v>
      </c>
      <c r="R35" s="42" t="e">
        <f>+Data4[[#This Row],[TOTAL CS IN (MC)]]-Data4[[#This Row],[TOTAL CS OUT (MC)]]</f>
        <v>#REF!</v>
      </c>
      <c r="S35" s="43"/>
    </row>
    <row r="36" spans="1:19" s="44" customFormat="1" ht="39.75" customHeight="1" x14ac:dyDescent="0.3">
      <c r="A36" s="45"/>
      <c r="B36" s="30" t="s">
        <v>65</v>
      </c>
      <c r="C36" s="46" t="s">
        <v>66</v>
      </c>
      <c r="D36" s="32" t="s">
        <v>66</v>
      </c>
      <c r="E36" s="33" t="e">
        <f>IF(AND(D36&lt;&gt;"",#REF!&lt;&gt; ""), SUBSTITUTE(D36, " KG", "") *#REF!, "")</f>
        <v>#REF!</v>
      </c>
      <c r="F36" s="33"/>
      <c r="G36" s="34"/>
      <c r="H36" s="33" t="s">
        <v>82</v>
      </c>
      <c r="I36" s="35" t="s">
        <v>83</v>
      </c>
      <c r="J36" s="36">
        <v>942</v>
      </c>
      <c r="K36" s="36">
        <v>1</v>
      </c>
      <c r="L36" s="37" t="s">
        <v>29</v>
      </c>
      <c r="M36" s="38">
        <v>48</v>
      </c>
      <c r="N36" s="39"/>
      <c r="O36" s="39"/>
      <c r="P36" s="40">
        <f>M36</f>
        <v>48</v>
      </c>
      <c r="Q36" s="41" t="e">
        <f>#REF!</f>
        <v>#REF!</v>
      </c>
      <c r="R36" s="42" t="e">
        <f>+Data4[[#This Row],[TOTAL CS IN (MC)]]-Data4[[#This Row],[TOTAL CS OUT (MC)]]</f>
        <v>#REF!</v>
      </c>
      <c r="S36" s="43"/>
    </row>
    <row r="37" spans="1:19" s="44" customFormat="1" ht="39.75" customHeight="1" x14ac:dyDescent="0.3">
      <c r="A37" s="45"/>
      <c r="B37" s="30" t="s">
        <v>84</v>
      </c>
      <c r="C37" s="46" t="s">
        <v>85</v>
      </c>
      <c r="D37" s="32" t="s">
        <v>34</v>
      </c>
      <c r="E37" s="33" t="e">
        <f>IF(AND(D37&lt;&gt;"",#REF!&lt;&gt; ""), SUBSTITUTE(D37, " KG", "") *#REF!, "")</f>
        <v>#REF!</v>
      </c>
      <c r="F37" s="33"/>
      <c r="G37" s="34" t="s">
        <v>39</v>
      </c>
      <c r="H37" s="33"/>
      <c r="I37" s="35" t="s">
        <v>86</v>
      </c>
      <c r="J37" s="36">
        <v>415</v>
      </c>
      <c r="K37" s="36">
        <v>1</v>
      </c>
      <c r="L37" s="37" t="s">
        <v>29</v>
      </c>
      <c r="M37" s="38">
        <v>16</v>
      </c>
      <c r="N37" s="39"/>
      <c r="O37" s="39"/>
      <c r="P37" s="40">
        <f>M37</f>
        <v>16</v>
      </c>
      <c r="Q37" s="41" t="e">
        <f>#REF!</f>
        <v>#REF!</v>
      </c>
      <c r="R37" s="42" t="e">
        <f>+Data4[[#This Row],[TOTAL CS IN (MC)]]-Data4[[#This Row],[TOTAL CS OUT (MC)]]</f>
        <v>#REF!</v>
      </c>
      <c r="S37" s="43"/>
    </row>
    <row r="38" spans="1:19" s="44" customFormat="1" ht="39.75" customHeight="1" x14ac:dyDescent="0.3">
      <c r="A38" s="45"/>
      <c r="B38" s="30" t="s">
        <v>84</v>
      </c>
      <c r="C38" s="46" t="s">
        <v>87</v>
      </c>
      <c r="D38" s="32" t="s">
        <v>34</v>
      </c>
      <c r="E38" s="33" t="e">
        <f>IF(AND(D38&lt;&gt;"",#REF!&lt;&gt; ""), SUBSTITUTE(D38, " KG", "") *#REF!, "")</f>
        <v>#REF!</v>
      </c>
      <c r="F38" s="33"/>
      <c r="G38" s="34" t="s">
        <v>39</v>
      </c>
      <c r="H38" s="33"/>
      <c r="I38" s="35" t="s">
        <v>86</v>
      </c>
      <c r="J38" s="36">
        <v>415</v>
      </c>
      <c r="K38" s="36"/>
      <c r="L38" s="37" t="s">
        <v>29</v>
      </c>
      <c r="M38" s="38">
        <f>9+21</f>
        <v>30</v>
      </c>
      <c r="N38" s="39"/>
      <c r="O38" s="39"/>
      <c r="P38" s="40">
        <f>M38</f>
        <v>30</v>
      </c>
      <c r="Q38" s="41" t="e">
        <f>#REF!</f>
        <v>#REF!</v>
      </c>
      <c r="R38" s="42" t="e">
        <f>+Data4[[#This Row],[TOTAL CS IN (MC)]]-Data4[[#This Row],[TOTAL CS OUT (MC)]]</f>
        <v>#REF!</v>
      </c>
      <c r="S38" s="43"/>
    </row>
    <row r="39" spans="1:19" s="44" customFormat="1" ht="39.75" customHeight="1" x14ac:dyDescent="0.3">
      <c r="A39" s="45"/>
      <c r="B39" s="30" t="s">
        <v>84</v>
      </c>
      <c r="C39" s="46" t="s">
        <v>88</v>
      </c>
      <c r="D39" s="32" t="s">
        <v>34</v>
      </c>
      <c r="E39" s="33" t="e">
        <f>IF(AND(D39&lt;&gt;"",#REF!&lt;&gt; ""), SUBSTITUTE(D39, " KG", "") *#REF!, "")</f>
        <v>#REF!</v>
      </c>
      <c r="F39" s="33"/>
      <c r="G39" s="34" t="s">
        <v>39</v>
      </c>
      <c r="H39" s="33"/>
      <c r="I39" s="35" t="s">
        <v>89</v>
      </c>
      <c r="J39" s="36">
        <v>805</v>
      </c>
      <c r="K39" s="36">
        <v>1</v>
      </c>
      <c r="L39" s="37" t="s">
        <v>29</v>
      </c>
      <c r="M39" s="38">
        <v>38</v>
      </c>
      <c r="N39" s="39"/>
      <c r="O39" s="39"/>
      <c r="P39" s="40">
        <f>M39</f>
        <v>38</v>
      </c>
      <c r="Q39" s="41" t="e">
        <f>#REF!</f>
        <v>#REF!</v>
      </c>
      <c r="R39" s="42" t="e">
        <f>+Data4[[#This Row],[TOTAL CS IN (MC)]]-Data4[[#This Row],[TOTAL CS OUT (MC)]]</f>
        <v>#REF!</v>
      </c>
      <c r="S39" s="43"/>
    </row>
    <row r="40" spans="1:19" s="44" customFormat="1" ht="39.75" customHeight="1" x14ac:dyDescent="0.3">
      <c r="A40" s="45"/>
      <c r="B40" s="30" t="s">
        <v>65</v>
      </c>
      <c r="C40" s="46" t="s">
        <v>66</v>
      </c>
      <c r="D40" s="32" t="s">
        <v>66</v>
      </c>
      <c r="E40" s="33" t="e">
        <f>IF(AND(D40&lt;&gt;"",#REF!&lt;&gt; ""), SUBSTITUTE(D40, " KG", "") *#REF!, "")</f>
        <v>#REF!</v>
      </c>
      <c r="F40" s="33"/>
      <c r="G40" s="34"/>
      <c r="H40" s="33"/>
      <c r="I40" s="35" t="s">
        <v>90</v>
      </c>
      <c r="J40" s="36">
        <v>516</v>
      </c>
      <c r="K40" s="36">
        <v>1</v>
      </c>
      <c r="L40" s="37" t="s">
        <v>29</v>
      </c>
      <c r="M40" s="38">
        <v>25</v>
      </c>
      <c r="N40" s="39"/>
      <c r="O40" s="39"/>
      <c r="P40" s="40">
        <f>M40</f>
        <v>25</v>
      </c>
      <c r="Q40" s="41" t="e">
        <f>#REF!</f>
        <v>#REF!</v>
      </c>
      <c r="R40" s="42" t="e">
        <f>+Data4[[#This Row],[TOTAL CS IN (MC)]]-Data4[[#This Row],[TOTAL CS OUT (MC)]]</f>
        <v>#REF!</v>
      </c>
      <c r="S40" s="43"/>
    </row>
    <row r="41" spans="1:19" s="44" customFormat="1" ht="39.75" customHeight="1" x14ac:dyDescent="0.3">
      <c r="A41" s="45"/>
      <c r="B41" s="30" t="s">
        <v>55</v>
      </c>
      <c r="C41" s="46" t="s">
        <v>91</v>
      </c>
      <c r="D41" s="32" t="s">
        <v>34</v>
      </c>
      <c r="E41" s="33" t="e">
        <f>IF(AND(D41&lt;&gt;"",#REF!&lt;&gt; ""), SUBSTITUTE(D41, " KG", "") *#REF!, "")</f>
        <v>#REF!</v>
      </c>
      <c r="F41" s="33"/>
      <c r="G41" s="34" t="s">
        <v>39</v>
      </c>
      <c r="H41" s="33"/>
      <c r="I41" s="35" t="s">
        <v>92</v>
      </c>
      <c r="J41" s="36">
        <v>787</v>
      </c>
      <c r="K41" s="36">
        <v>1</v>
      </c>
      <c r="L41" s="37" t="s">
        <v>29</v>
      </c>
      <c r="M41" s="38">
        <v>17</v>
      </c>
      <c r="N41" s="39"/>
      <c r="O41" s="39"/>
      <c r="P41" s="40">
        <f>M41</f>
        <v>17</v>
      </c>
      <c r="Q41" s="41" t="e">
        <f>#REF!</f>
        <v>#REF!</v>
      </c>
      <c r="R41" s="42" t="e">
        <f>+Data4[[#This Row],[TOTAL CS IN (MC)]]-Data4[[#This Row],[TOTAL CS OUT (MC)]]</f>
        <v>#REF!</v>
      </c>
      <c r="S41" s="43"/>
    </row>
    <row r="42" spans="1:19" s="44" customFormat="1" ht="39.75" customHeight="1" x14ac:dyDescent="0.3">
      <c r="A42" s="45"/>
      <c r="B42" s="30" t="s">
        <v>55</v>
      </c>
      <c r="C42" s="46" t="s">
        <v>33</v>
      </c>
      <c r="D42" s="32" t="s">
        <v>34</v>
      </c>
      <c r="E42" s="33" t="e">
        <f>IF(AND(D42&lt;&gt;"",#REF!&lt;&gt; ""), SUBSTITUTE(D42, " KG", "") *#REF!, "")</f>
        <v>#REF!</v>
      </c>
      <c r="F42" s="33"/>
      <c r="G42" s="34" t="s">
        <v>39</v>
      </c>
      <c r="H42" s="33"/>
      <c r="I42" s="35" t="s">
        <v>92</v>
      </c>
      <c r="J42" s="36">
        <v>787</v>
      </c>
      <c r="K42" s="36"/>
      <c r="L42" s="37" t="s">
        <v>29</v>
      </c>
      <c r="M42" s="38">
        <v>15</v>
      </c>
      <c r="N42" s="39"/>
      <c r="O42" s="39"/>
      <c r="P42" s="40">
        <f>M42</f>
        <v>15</v>
      </c>
      <c r="Q42" s="41" t="e">
        <f>#REF!</f>
        <v>#REF!</v>
      </c>
      <c r="R42" s="42" t="e">
        <f>+Data4[[#This Row],[TOTAL CS IN (MC)]]-Data4[[#This Row],[TOTAL CS OUT (MC)]]</f>
        <v>#REF!</v>
      </c>
      <c r="S42" s="43"/>
    </row>
    <row r="43" spans="1:19" s="44" customFormat="1" ht="39.75" customHeight="1" x14ac:dyDescent="0.3">
      <c r="A43" s="45"/>
      <c r="B43" s="30" t="s">
        <v>55</v>
      </c>
      <c r="C43" s="46" t="s">
        <v>93</v>
      </c>
      <c r="D43" s="32" t="s">
        <v>34</v>
      </c>
      <c r="E43" s="33" t="e">
        <f>IF(AND(D43&lt;&gt;"",#REF!&lt;&gt; ""), SUBSTITUTE(D43, " KG", "") *#REF!, "")</f>
        <v>#REF!</v>
      </c>
      <c r="F43" s="33"/>
      <c r="G43" s="34" t="s">
        <v>39</v>
      </c>
      <c r="H43" s="33"/>
      <c r="I43" s="35" t="s">
        <v>92</v>
      </c>
      <c r="J43" s="36">
        <v>787</v>
      </c>
      <c r="K43" s="36"/>
      <c r="L43" s="37" t="s">
        <v>29</v>
      </c>
      <c r="M43" s="38">
        <v>15</v>
      </c>
      <c r="N43" s="39"/>
      <c r="O43" s="39"/>
      <c r="P43" s="40">
        <f>M43</f>
        <v>15</v>
      </c>
      <c r="Q43" s="41" t="e">
        <f>#REF!</f>
        <v>#REF!</v>
      </c>
      <c r="R43" s="42" t="e">
        <f>+Data4[[#This Row],[TOTAL CS IN (MC)]]-Data4[[#This Row],[TOTAL CS OUT (MC)]]</f>
        <v>#REF!</v>
      </c>
      <c r="S43" s="43"/>
    </row>
    <row r="44" spans="1:19" s="44" customFormat="1" ht="39.75" customHeight="1" x14ac:dyDescent="0.3">
      <c r="A44" s="45"/>
      <c r="B44" s="30" t="s">
        <v>94</v>
      </c>
      <c r="C44" s="46" t="s">
        <v>56</v>
      </c>
      <c r="D44" s="32" t="s">
        <v>34</v>
      </c>
      <c r="E44" s="33" t="e">
        <f>IF(AND(D44&lt;&gt;"",#REF!&lt;&gt; ""), SUBSTITUTE(D44, " KG", "") *#REF!, "")</f>
        <v>#REF!</v>
      </c>
      <c r="F44" s="33" t="s">
        <v>50</v>
      </c>
      <c r="G44" s="34"/>
      <c r="H44" s="33"/>
      <c r="I44" s="35" t="s">
        <v>95</v>
      </c>
      <c r="J44" s="36">
        <v>189</v>
      </c>
      <c r="K44" s="36">
        <v>1</v>
      </c>
      <c r="L44" s="37" t="s">
        <v>29</v>
      </c>
      <c r="M44" s="38">
        <v>24</v>
      </c>
      <c r="N44" s="39"/>
      <c r="O44" s="39"/>
      <c r="P44" s="40">
        <f>M44</f>
        <v>24</v>
      </c>
      <c r="Q44" s="41" t="e">
        <f>#REF!</f>
        <v>#REF!</v>
      </c>
      <c r="R44" s="42" t="e">
        <f>+Data4[[#This Row],[TOTAL CS IN (MC)]]-Data4[[#This Row],[TOTAL CS OUT (MC)]]</f>
        <v>#REF!</v>
      </c>
      <c r="S44" s="43"/>
    </row>
    <row r="45" spans="1:19" s="44" customFormat="1" ht="40.200000000000003" customHeight="1" x14ac:dyDescent="0.3">
      <c r="A45" s="45"/>
      <c r="B45" s="30"/>
      <c r="C45" s="46"/>
      <c r="D45" s="33"/>
      <c r="E45" s="33" t="e">
        <f>IF(AND(D45&lt;&gt;"",#REF!&lt;&gt; ""), SUBSTITUTE(D45, " KG", "") *#REF!, "")</f>
        <v>#REF!</v>
      </c>
      <c r="F45" s="33"/>
      <c r="G45" s="34"/>
      <c r="H45" s="33"/>
      <c r="I45" s="35"/>
      <c r="J45" s="36"/>
      <c r="K45" s="36"/>
      <c r="L45" s="37"/>
      <c r="M45" s="38"/>
      <c r="N45" s="39"/>
      <c r="O45" s="39"/>
      <c r="P45" s="40">
        <f>M45</f>
        <v>0</v>
      </c>
      <c r="Q45" s="41" t="e">
        <f>#REF!</f>
        <v>#REF!</v>
      </c>
      <c r="R45" s="42" t="e">
        <f>+Data4[[#This Row],[TOTAL CS IN (MC)]]-Data4[[#This Row],[TOTAL CS OUT (MC)]]</f>
        <v>#REF!</v>
      </c>
      <c r="S45" s="43"/>
    </row>
    <row r="46" spans="1:19" s="44" customFormat="1" ht="40.200000000000003" customHeight="1" x14ac:dyDescent="0.3">
      <c r="A46" s="29" t="s">
        <v>96</v>
      </c>
      <c r="B46" s="30" t="s">
        <v>97</v>
      </c>
      <c r="C46" s="46" t="s">
        <v>33</v>
      </c>
      <c r="D46" s="32" t="s">
        <v>34</v>
      </c>
      <c r="E46" s="33" t="e">
        <f>IF(AND(D46&lt;&gt;"",#REF!&lt;&gt; ""), SUBSTITUTE(D46, " KG", "") *#REF!, "")</f>
        <v>#REF!</v>
      </c>
      <c r="F46" s="33" t="s">
        <v>50</v>
      </c>
      <c r="G46" s="34"/>
      <c r="H46" s="33" t="s">
        <v>98</v>
      </c>
      <c r="I46" s="35" t="s">
        <v>99</v>
      </c>
      <c r="J46" s="36">
        <v>1116</v>
      </c>
      <c r="K46" s="36">
        <v>1</v>
      </c>
      <c r="L46" s="37" t="s">
        <v>29</v>
      </c>
      <c r="M46" s="38">
        <v>29</v>
      </c>
      <c r="N46" s="39"/>
      <c r="O46" s="39"/>
      <c r="P46" s="40">
        <f>M46</f>
        <v>29</v>
      </c>
      <c r="Q46" s="41" t="e">
        <f>#REF!</f>
        <v>#REF!</v>
      </c>
      <c r="R46" s="42" t="e">
        <f>+Data4[[#This Row],[TOTAL CS IN (MC)]]-Data4[[#This Row],[TOTAL CS OUT (MC)]]</f>
        <v>#REF!</v>
      </c>
      <c r="S46" s="43"/>
    </row>
    <row r="47" spans="1:19" s="44" customFormat="1" ht="40.200000000000003" customHeight="1" x14ac:dyDescent="0.3">
      <c r="A47" s="45"/>
      <c r="B47" s="30" t="s">
        <v>55</v>
      </c>
      <c r="C47" s="46" t="s">
        <v>56</v>
      </c>
      <c r="D47" s="32" t="s">
        <v>34</v>
      </c>
      <c r="E47" s="33" t="e">
        <f>IF(AND(D47&lt;&gt;"",#REF!&lt;&gt; ""), SUBSTITUTE(D47, " KG", "") *#REF!, "")</f>
        <v>#REF!</v>
      </c>
      <c r="F47" s="33"/>
      <c r="G47" s="34" t="s">
        <v>35</v>
      </c>
      <c r="H47" s="33"/>
      <c r="I47" s="35" t="s">
        <v>100</v>
      </c>
      <c r="J47" s="36">
        <v>600</v>
      </c>
      <c r="K47" s="36">
        <v>1</v>
      </c>
      <c r="L47" s="37" t="s">
        <v>29</v>
      </c>
      <c r="M47" s="38">
        <v>22</v>
      </c>
      <c r="N47" s="39"/>
      <c r="O47" s="39"/>
      <c r="P47" s="40">
        <f>M47</f>
        <v>22</v>
      </c>
      <c r="Q47" s="41" t="e">
        <f>#REF!</f>
        <v>#REF!</v>
      </c>
      <c r="R47" s="42" t="e">
        <f>+Data4[[#This Row],[TOTAL CS IN (MC)]]-Data4[[#This Row],[TOTAL CS OUT (MC)]]</f>
        <v>#REF!</v>
      </c>
      <c r="S47" s="43"/>
    </row>
    <row r="48" spans="1:19" s="44" customFormat="1" ht="40.200000000000003" customHeight="1" x14ac:dyDescent="0.3">
      <c r="A48" s="45"/>
      <c r="B48" s="30" t="s">
        <v>55</v>
      </c>
      <c r="C48" s="46" t="s">
        <v>56</v>
      </c>
      <c r="D48" s="32" t="s">
        <v>34</v>
      </c>
      <c r="E48" s="33" t="e">
        <f>IF(AND(D48&lt;&gt;"",#REF!&lt;&gt; ""), SUBSTITUTE(D48, " KG", "") *#REF!, "")</f>
        <v>#REF!</v>
      </c>
      <c r="F48" s="33"/>
      <c r="G48" s="34" t="s">
        <v>39</v>
      </c>
      <c r="H48" s="33"/>
      <c r="I48" s="35" t="s">
        <v>100</v>
      </c>
      <c r="J48" s="36">
        <v>600</v>
      </c>
      <c r="K48" s="36"/>
      <c r="L48" s="37" t="s">
        <v>29</v>
      </c>
      <c r="M48" s="38">
        <v>26</v>
      </c>
      <c r="N48" s="39"/>
      <c r="O48" s="39"/>
      <c r="P48" s="40">
        <f>M48</f>
        <v>26</v>
      </c>
      <c r="Q48" s="41" t="e">
        <f>#REF!</f>
        <v>#REF!</v>
      </c>
      <c r="R48" s="42" t="e">
        <f>+Data4[[#This Row],[TOTAL CS IN (MC)]]-Data4[[#This Row],[TOTAL CS OUT (MC)]]</f>
        <v>#REF!</v>
      </c>
      <c r="S48" s="43"/>
    </row>
    <row r="49" spans="1:19" s="44" customFormat="1" ht="40.200000000000003" customHeight="1" x14ac:dyDescent="0.3">
      <c r="A49" s="45"/>
      <c r="B49" s="30" t="s">
        <v>101</v>
      </c>
      <c r="C49" s="46" t="s">
        <v>56</v>
      </c>
      <c r="D49" s="32" t="s">
        <v>34</v>
      </c>
      <c r="E49" s="33" t="e">
        <f>IF(AND(D49&lt;&gt;"",#REF!&lt;&gt; ""), SUBSTITUTE(D49, " KG", "") *#REF!, "")</f>
        <v>#REF!</v>
      </c>
      <c r="F49" s="33" t="s">
        <v>50</v>
      </c>
      <c r="G49" s="34"/>
      <c r="H49" s="33"/>
      <c r="I49" s="35" t="s">
        <v>100</v>
      </c>
      <c r="J49" s="36">
        <v>600</v>
      </c>
      <c r="K49" s="36"/>
      <c r="L49" s="37" t="s">
        <v>29</v>
      </c>
      <c r="M49" s="38">
        <v>1</v>
      </c>
      <c r="N49" s="39"/>
      <c r="O49" s="39"/>
      <c r="P49" s="40">
        <f>M49</f>
        <v>1</v>
      </c>
      <c r="Q49" s="41" t="e">
        <f>#REF!</f>
        <v>#REF!</v>
      </c>
      <c r="R49" s="42" t="e">
        <f>+Data4[[#This Row],[TOTAL CS IN (MC)]]-Data4[[#This Row],[TOTAL CS OUT (MC)]]</f>
        <v>#REF!</v>
      </c>
      <c r="S49" s="43"/>
    </row>
    <row r="50" spans="1:19" s="44" customFormat="1" ht="40.200000000000003" customHeight="1" x14ac:dyDescent="0.3">
      <c r="A50" s="45"/>
      <c r="B50" s="30" t="s">
        <v>60</v>
      </c>
      <c r="C50" s="46" t="s">
        <v>61</v>
      </c>
      <c r="D50" s="32" t="s">
        <v>34</v>
      </c>
      <c r="E50" s="33" t="e">
        <f>IF(AND(D50&lt;&gt;"",#REF!&lt;&gt; ""), SUBSTITUTE(D50, " KG", "") *#REF!, "")</f>
        <v>#REF!</v>
      </c>
      <c r="F50" s="33"/>
      <c r="G50" s="34" t="s">
        <v>39</v>
      </c>
      <c r="H50" s="33"/>
      <c r="I50" s="35" t="s">
        <v>102</v>
      </c>
      <c r="J50" s="36">
        <v>955</v>
      </c>
      <c r="K50" s="36">
        <v>1</v>
      </c>
      <c r="L50" s="37" t="s">
        <v>29</v>
      </c>
      <c r="M50" s="38">
        <v>11</v>
      </c>
      <c r="N50" s="39"/>
      <c r="O50" s="39"/>
      <c r="P50" s="40">
        <f>M50</f>
        <v>11</v>
      </c>
      <c r="Q50" s="41" t="e">
        <f>#REF!</f>
        <v>#REF!</v>
      </c>
      <c r="R50" s="42" t="e">
        <f>+Data4[[#This Row],[TOTAL CS IN (MC)]]-Data4[[#This Row],[TOTAL CS OUT (MC)]]</f>
        <v>#REF!</v>
      </c>
      <c r="S50" s="43"/>
    </row>
    <row r="51" spans="1:19" s="44" customFormat="1" ht="40.200000000000003" customHeight="1" x14ac:dyDescent="0.3">
      <c r="A51" s="45"/>
      <c r="B51" s="30" t="s">
        <v>60</v>
      </c>
      <c r="C51" s="46" t="s">
        <v>61</v>
      </c>
      <c r="D51" s="32" t="s">
        <v>34</v>
      </c>
      <c r="E51" s="33" t="e">
        <f>IF(AND(D51&lt;&gt;"",#REF!&lt;&gt; ""), SUBSTITUTE(D51, " KG", "") *#REF!, "")</f>
        <v>#REF!</v>
      </c>
      <c r="F51" s="33"/>
      <c r="G51" s="34" t="s">
        <v>51</v>
      </c>
      <c r="H51" s="33"/>
      <c r="I51" s="35" t="s">
        <v>102</v>
      </c>
      <c r="J51" s="36">
        <v>955</v>
      </c>
      <c r="K51" s="36"/>
      <c r="L51" s="37" t="s">
        <v>29</v>
      </c>
      <c r="M51" s="38">
        <v>18</v>
      </c>
      <c r="N51" s="39"/>
      <c r="O51" s="39"/>
      <c r="P51" s="40">
        <f>M51</f>
        <v>18</v>
      </c>
      <c r="Q51" s="41" t="e">
        <f>#REF!</f>
        <v>#REF!</v>
      </c>
      <c r="R51" s="42" t="e">
        <f>+Data4[[#This Row],[TOTAL CS IN (MC)]]-Data4[[#This Row],[TOTAL CS OUT (MC)]]</f>
        <v>#REF!</v>
      </c>
      <c r="S51" s="43"/>
    </row>
    <row r="52" spans="1:19" s="44" customFormat="1" ht="40.200000000000003" customHeight="1" x14ac:dyDescent="0.3">
      <c r="A52" s="45"/>
      <c r="B52" s="30" t="s">
        <v>60</v>
      </c>
      <c r="C52" s="46" t="s">
        <v>64</v>
      </c>
      <c r="D52" s="32" t="s">
        <v>34</v>
      </c>
      <c r="E52" s="33" t="e">
        <f>IF(AND(D52&lt;&gt;"",#REF!&lt;&gt; ""), SUBSTITUTE(D52, " KG", "") *#REF!, "")</f>
        <v>#REF!</v>
      </c>
      <c r="F52" s="33"/>
      <c r="G52" s="34" t="s">
        <v>51</v>
      </c>
      <c r="H52" s="33"/>
      <c r="I52" s="35" t="s">
        <v>102</v>
      </c>
      <c r="J52" s="36">
        <v>955</v>
      </c>
      <c r="K52" s="36"/>
      <c r="L52" s="37" t="s">
        <v>29</v>
      </c>
      <c r="M52" s="38">
        <v>2</v>
      </c>
      <c r="N52" s="39"/>
      <c r="O52" s="39"/>
      <c r="P52" s="40">
        <f>M52</f>
        <v>2</v>
      </c>
      <c r="Q52" s="41" t="e">
        <f>#REF!</f>
        <v>#REF!</v>
      </c>
      <c r="R52" s="42" t="e">
        <f>+Data4[[#This Row],[TOTAL CS IN (MC)]]-Data4[[#This Row],[TOTAL CS OUT (MC)]]</f>
        <v>#REF!</v>
      </c>
      <c r="S52" s="43"/>
    </row>
    <row r="53" spans="1:19" s="44" customFormat="1" ht="40.200000000000003" customHeight="1" x14ac:dyDescent="0.3">
      <c r="A53" s="45"/>
      <c r="B53" s="30" t="s">
        <v>103</v>
      </c>
      <c r="C53" s="46" t="s">
        <v>104</v>
      </c>
      <c r="D53" s="32" t="s">
        <v>34</v>
      </c>
      <c r="E53" s="33" t="e">
        <f>IF(AND(D53&lt;&gt;"",#REF!&lt;&gt; ""), SUBSTITUTE(D53, " KG", "") *#REF!, "")</f>
        <v>#REF!</v>
      </c>
      <c r="F53" s="33"/>
      <c r="G53" s="34" t="s">
        <v>51</v>
      </c>
      <c r="H53" s="33"/>
      <c r="I53" s="35" t="s">
        <v>105</v>
      </c>
      <c r="J53" s="36">
        <v>1079</v>
      </c>
      <c r="K53" s="36">
        <v>1</v>
      </c>
      <c r="L53" s="37" t="s">
        <v>29</v>
      </c>
      <c r="M53" s="38">
        <v>6</v>
      </c>
      <c r="N53" s="39"/>
      <c r="O53" s="39"/>
      <c r="P53" s="40">
        <f>M53</f>
        <v>6</v>
      </c>
      <c r="Q53" s="41" t="e">
        <f>#REF!</f>
        <v>#REF!</v>
      </c>
      <c r="R53" s="42" t="e">
        <f>+Data4[[#This Row],[TOTAL CS IN (MC)]]-Data4[[#This Row],[TOTAL CS OUT (MC)]]</f>
        <v>#REF!</v>
      </c>
      <c r="S53" s="43"/>
    </row>
    <row r="54" spans="1:19" s="44" customFormat="1" ht="39.75" customHeight="1" x14ac:dyDescent="0.3">
      <c r="A54" s="45"/>
      <c r="B54" s="30" t="s">
        <v>106</v>
      </c>
      <c r="C54" s="46" t="s">
        <v>104</v>
      </c>
      <c r="D54" s="32" t="s">
        <v>34</v>
      </c>
      <c r="E54" s="33" t="e">
        <f>IF(AND(D54&lt;&gt;"",#REF!&lt;&gt; ""), SUBSTITUTE(D54, " KG", "") *#REF!, "")</f>
        <v>#REF!</v>
      </c>
      <c r="F54" s="33"/>
      <c r="G54" s="34" t="s">
        <v>51</v>
      </c>
      <c r="H54" s="33"/>
      <c r="I54" s="35" t="s">
        <v>105</v>
      </c>
      <c r="J54" s="36">
        <v>1079</v>
      </c>
      <c r="K54" s="36"/>
      <c r="L54" s="37" t="s">
        <v>29</v>
      </c>
      <c r="M54" s="38">
        <v>2</v>
      </c>
      <c r="N54" s="39"/>
      <c r="O54" s="39"/>
      <c r="P54" s="40">
        <f>M54</f>
        <v>2</v>
      </c>
      <c r="Q54" s="41" t="e">
        <f>#REF!</f>
        <v>#REF!</v>
      </c>
      <c r="R54" s="42" t="e">
        <f>+Data4[[#This Row],[TOTAL CS IN (MC)]]-Data4[[#This Row],[TOTAL CS OUT (MC)]]</f>
        <v>#REF!</v>
      </c>
      <c r="S54" s="43"/>
    </row>
    <row r="55" spans="1:19" s="44" customFormat="1" ht="40.200000000000003" customHeight="1" x14ac:dyDescent="0.3">
      <c r="A55" s="45"/>
      <c r="B55" s="30" t="s">
        <v>103</v>
      </c>
      <c r="C55" s="46" t="s">
        <v>107</v>
      </c>
      <c r="D55" s="32" t="s">
        <v>34</v>
      </c>
      <c r="E55" s="33" t="e">
        <f>IF(AND(D55&lt;&gt;"",#REF!&lt;&gt; ""), SUBSTITUTE(D55, " KG", "") *#REF!, "")</f>
        <v>#REF!</v>
      </c>
      <c r="F55" s="33" t="s">
        <v>50</v>
      </c>
      <c r="G55" s="34"/>
      <c r="H55" s="33"/>
      <c r="I55" s="35" t="s">
        <v>105</v>
      </c>
      <c r="J55" s="36">
        <v>1079</v>
      </c>
      <c r="K55" s="36"/>
      <c r="L55" s="37" t="s">
        <v>29</v>
      </c>
      <c r="M55" s="38">
        <v>10</v>
      </c>
      <c r="N55" s="39"/>
      <c r="O55" s="39"/>
      <c r="P55" s="40">
        <f>M55</f>
        <v>10</v>
      </c>
      <c r="Q55" s="41" t="e">
        <f>#REF!</f>
        <v>#REF!</v>
      </c>
      <c r="R55" s="42" t="e">
        <f>+Data4[[#This Row],[TOTAL CS IN (MC)]]-Data4[[#This Row],[TOTAL CS OUT (MC)]]</f>
        <v>#REF!</v>
      </c>
      <c r="S55" s="43"/>
    </row>
    <row r="56" spans="1:19" s="44" customFormat="1" ht="40.200000000000003" customHeight="1" x14ac:dyDescent="0.3">
      <c r="A56" s="45"/>
      <c r="B56" s="30" t="s">
        <v>103</v>
      </c>
      <c r="C56" s="46" t="s">
        <v>107</v>
      </c>
      <c r="D56" s="32" t="s">
        <v>34</v>
      </c>
      <c r="E56" s="33" t="e">
        <f>IF(AND(D56&lt;&gt;"",#REF!&lt;&gt; ""), SUBSTITUTE(D56, " KG", "") *#REF!, "")</f>
        <v>#REF!</v>
      </c>
      <c r="F56" s="33"/>
      <c r="G56" s="34" t="s">
        <v>51</v>
      </c>
      <c r="H56" s="33"/>
      <c r="I56" s="35" t="s">
        <v>105</v>
      </c>
      <c r="J56" s="36">
        <v>1079</v>
      </c>
      <c r="K56" s="36"/>
      <c r="L56" s="37" t="s">
        <v>29</v>
      </c>
      <c r="M56" s="38">
        <v>2</v>
      </c>
      <c r="N56" s="39"/>
      <c r="O56" s="39"/>
      <c r="P56" s="40">
        <f>M56</f>
        <v>2</v>
      </c>
      <c r="Q56" s="41" t="e">
        <f>#REF!</f>
        <v>#REF!</v>
      </c>
      <c r="R56" s="42" t="e">
        <f>+Data4[[#This Row],[TOTAL CS IN (MC)]]-Data4[[#This Row],[TOTAL CS OUT (MC)]]</f>
        <v>#REF!</v>
      </c>
      <c r="S56" s="43"/>
    </row>
    <row r="57" spans="1:19" s="44" customFormat="1" ht="40.200000000000003" customHeight="1" x14ac:dyDescent="0.3">
      <c r="A57" s="45"/>
      <c r="B57" s="30" t="s">
        <v>106</v>
      </c>
      <c r="C57" s="46" t="s">
        <v>107</v>
      </c>
      <c r="D57" s="32" t="s">
        <v>34</v>
      </c>
      <c r="E57" s="33" t="e">
        <f>IF(AND(D57&lt;&gt;"",#REF!&lt;&gt; ""), SUBSTITUTE(D57, " KG", "") *#REF!, "")</f>
        <v>#REF!</v>
      </c>
      <c r="F57" s="33"/>
      <c r="G57" s="34" t="s">
        <v>51</v>
      </c>
      <c r="H57" s="33"/>
      <c r="I57" s="35" t="s">
        <v>105</v>
      </c>
      <c r="J57" s="36">
        <v>1079</v>
      </c>
      <c r="K57" s="36"/>
      <c r="L57" s="37" t="s">
        <v>29</v>
      </c>
      <c r="M57" s="38">
        <v>3</v>
      </c>
      <c r="N57" s="39"/>
      <c r="O57" s="39"/>
      <c r="P57" s="40">
        <f>M57</f>
        <v>3</v>
      </c>
      <c r="Q57" s="41" t="e">
        <f>#REF!</f>
        <v>#REF!</v>
      </c>
      <c r="R57" s="42" t="e">
        <f>+Data4[[#This Row],[TOTAL CS IN (MC)]]-Data4[[#This Row],[TOTAL CS OUT (MC)]]</f>
        <v>#REF!</v>
      </c>
      <c r="S57" s="43"/>
    </row>
    <row r="58" spans="1:19" s="44" customFormat="1" ht="40.200000000000003" customHeight="1" x14ac:dyDescent="0.3">
      <c r="A58" s="45"/>
      <c r="B58" s="30" t="s">
        <v>108</v>
      </c>
      <c r="C58" s="46" t="s">
        <v>46</v>
      </c>
      <c r="D58" s="32" t="s">
        <v>34</v>
      </c>
      <c r="E58" s="33" t="e">
        <f>IF(AND(D58&lt;&gt;"",#REF!&lt;&gt; ""), SUBSTITUTE(D58, " KG", "") *#REF!, "")</f>
        <v>#REF!</v>
      </c>
      <c r="F58" s="33"/>
      <c r="G58" s="34"/>
      <c r="H58" s="33"/>
      <c r="I58" s="35" t="s">
        <v>105</v>
      </c>
      <c r="J58" s="36">
        <v>1079</v>
      </c>
      <c r="K58" s="36"/>
      <c r="L58" s="37" t="s">
        <v>29</v>
      </c>
      <c r="M58" s="38">
        <v>1</v>
      </c>
      <c r="N58" s="39"/>
      <c r="O58" s="39"/>
      <c r="P58" s="40">
        <f>M58</f>
        <v>1</v>
      </c>
      <c r="Q58" s="41" t="e">
        <f>#REF!</f>
        <v>#REF!</v>
      </c>
      <c r="R58" s="42" t="e">
        <f>+Data4[[#This Row],[TOTAL CS IN (MC)]]-Data4[[#This Row],[TOTAL CS OUT (MC)]]</f>
        <v>#REF!</v>
      </c>
      <c r="S58" s="43"/>
    </row>
    <row r="59" spans="1:19" s="44" customFormat="1" ht="40.200000000000003" customHeight="1" x14ac:dyDescent="0.3">
      <c r="A59" s="45"/>
      <c r="B59" s="30" t="s">
        <v>55</v>
      </c>
      <c r="C59" s="46" t="s">
        <v>109</v>
      </c>
      <c r="D59" s="32" t="s">
        <v>34</v>
      </c>
      <c r="E59" s="33" t="e">
        <f>IF(AND(D59&lt;&gt;"",#REF!&lt;&gt; ""), SUBSTITUTE(D59, " KG", "") *#REF!, "")</f>
        <v>#REF!</v>
      </c>
      <c r="F59" s="33"/>
      <c r="G59" s="34" t="s">
        <v>54</v>
      </c>
      <c r="H59" s="33"/>
      <c r="I59" s="35" t="s">
        <v>110</v>
      </c>
      <c r="J59" s="36">
        <v>1112</v>
      </c>
      <c r="K59" s="36">
        <v>1</v>
      </c>
      <c r="L59" s="37" t="s">
        <v>29</v>
      </c>
      <c r="M59" s="38">
        <v>14</v>
      </c>
      <c r="N59" s="39"/>
      <c r="O59" s="39"/>
      <c r="P59" s="40">
        <f>M59</f>
        <v>14</v>
      </c>
      <c r="Q59" s="41" t="e">
        <f>#REF!</f>
        <v>#REF!</v>
      </c>
      <c r="R59" s="42" t="e">
        <f>+Data4[[#This Row],[TOTAL CS IN (MC)]]-Data4[[#This Row],[TOTAL CS OUT (MC)]]</f>
        <v>#REF!</v>
      </c>
      <c r="S59" s="43"/>
    </row>
    <row r="60" spans="1:19" s="44" customFormat="1" ht="40.200000000000003" customHeight="1" x14ac:dyDescent="0.3">
      <c r="A60" s="45"/>
      <c r="B60" s="30" t="s">
        <v>55</v>
      </c>
      <c r="C60" s="46" t="s">
        <v>56</v>
      </c>
      <c r="D60" s="32" t="s">
        <v>34</v>
      </c>
      <c r="E60" s="33" t="e">
        <f>IF(AND(D60&lt;&gt;"",#REF!&lt;&gt; ""), SUBSTITUTE(D60, " KG", "") *#REF!, "")</f>
        <v>#REF!</v>
      </c>
      <c r="F60" s="33"/>
      <c r="G60" s="34" t="s">
        <v>39</v>
      </c>
      <c r="H60" s="33"/>
      <c r="I60" s="35" t="s">
        <v>110</v>
      </c>
      <c r="J60" s="36">
        <v>1112</v>
      </c>
      <c r="K60" s="36"/>
      <c r="L60" s="37" t="s">
        <v>29</v>
      </c>
      <c r="M60" s="38">
        <v>27</v>
      </c>
      <c r="N60" s="39"/>
      <c r="O60" s="39"/>
      <c r="P60" s="40">
        <f>M60</f>
        <v>27</v>
      </c>
      <c r="Q60" s="41" t="e">
        <f>#REF!</f>
        <v>#REF!</v>
      </c>
      <c r="R60" s="42" t="e">
        <f>+Data4[[#This Row],[TOTAL CS IN (MC)]]-Data4[[#This Row],[TOTAL CS OUT (MC)]]</f>
        <v>#REF!</v>
      </c>
      <c r="S60" s="43"/>
    </row>
    <row r="61" spans="1:19" s="44" customFormat="1" ht="40.200000000000003" customHeight="1" x14ac:dyDescent="0.3">
      <c r="A61" s="45"/>
      <c r="B61" s="30" t="s">
        <v>111</v>
      </c>
      <c r="C61" s="46" t="s">
        <v>33</v>
      </c>
      <c r="D61" s="32" t="s">
        <v>34</v>
      </c>
      <c r="E61" s="33" t="e">
        <f>IF(AND(D61&lt;&gt;"",#REF!&lt;&gt; ""), SUBSTITUTE(D61, " KG", "") *#REF!, "")</f>
        <v>#REF!</v>
      </c>
      <c r="F61" s="33"/>
      <c r="G61" s="34" t="s">
        <v>39</v>
      </c>
      <c r="H61" s="33" t="s">
        <v>112</v>
      </c>
      <c r="I61" s="35" t="s">
        <v>113</v>
      </c>
      <c r="J61" s="36">
        <v>580</v>
      </c>
      <c r="K61" s="36">
        <v>1</v>
      </c>
      <c r="L61" s="37" t="s">
        <v>29</v>
      </c>
      <c r="M61" s="38">
        <v>59</v>
      </c>
      <c r="N61" s="39"/>
      <c r="O61" s="39"/>
      <c r="P61" s="40">
        <f>M61</f>
        <v>59</v>
      </c>
      <c r="Q61" s="41" t="e">
        <f>#REF!</f>
        <v>#REF!</v>
      </c>
      <c r="R61" s="42" t="e">
        <f>+Data4[[#This Row],[TOTAL CS IN (MC)]]-Data4[[#This Row],[TOTAL CS OUT (MC)]]</f>
        <v>#REF!</v>
      </c>
      <c r="S61" s="43"/>
    </row>
    <row r="62" spans="1:19" s="44" customFormat="1" ht="40.200000000000003" customHeight="1" x14ac:dyDescent="0.3">
      <c r="A62" s="45"/>
      <c r="B62" s="30" t="s">
        <v>55</v>
      </c>
      <c r="C62" s="46" t="s">
        <v>91</v>
      </c>
      <c r="D62" s="32" t="s">
        <v>34</v>
      </c>
      <c r="E62" s="33" t="e">
        <f>IF(AND(D62&lt;&gt;"",#REF!&lt;&gt; ""), SUBSTITUTE(D62, " KG", "") *#REF!, "")</f>
        <v>#REF!</v>
      </c>
      <c r="F62" s="33"/>
      <c r="G62" s="34" t="s">
        <v>54</v>
      </c>
      <c r="H62" s="33"/>
      <c r="I62" s="35" t="s">
        <v>114</v>
      </c>
      <c r="J62" s="36">
        <v>888</v>
      </c>
      <c r="K62" s="36">
        <v>1</v>
      </c>
      <c r="L62" s="37" t="s">
        <v>29</v>
      </c>
      <c r="M62" s="38">
        <v>27</v>
      </c>
      <c r="N62" s="39"/>
      <c r="O62" s="39"/>
      <c r="P62" s="40">
        <f>M62</f>
        <v>27</v>
      </c>
      <c r="Q62" s="41" t="e">
        <f>#REF!</f>
        <v>#REF!</v>
      </c>
      <c r="R62" s="42" t="e">
        <f>+Data4[[#This Row],[TOTAL CS IN (MC)]]-Data4[[#This Row],[TOTAL CS OUT (MC)]]</f>
        <v>#REF!</v>
      </c>
      <c r="S62" s="43"/>
    </row>
    <row r="63" spans="1:19" s="44" customFormat="1" ht="40.200000000000003" customHeight="1" x14ac:dyDescent="0.3">
      <c r="A63" s="45"/>
      <c r="B63" s="30" t="s">
        <v>55</v>
      </c>
      <c r="C63" s="46" t="s">
        <v>91</v>
      </c>
      <c r="D63" s="32" t="s">
        <v>34</v>
      </c>
      <c r="E63" s="33" t="e">
        <f>IF(AND(D63&lt;&gt;"",#REF!&lt;&gt; ""), SUBSTITUTE(D63, " KG", "") *#REF!, "")</f>
        <v>#REF!</v>
      </c>
      <c r="F63" s="33"/>
      <c r="G63" s="34" t="s">
        <v>39</v>
      </c>
      <c r="H63" s="33"/>
      <c r="I63" s="35" t="s">
        <v>115</v>
      </c>
      <c r="J63" s="36">
        <v>284</v>
      </c>
      <c r="K63" s="36">
        <v>1</v>
      </c>
      <c r="L63" s="37" t="s">
        <v>29</v>
      </c>
      <c r="M63" s="38">
        <v>7</v>
      </c>
      <c r="N63" s="39"/>
      <c r="O63" s="39"/>
      <c r="P63" s="40">
        <f>M63</f>
        <v>7</v>
      </c>
      <c r="Q63" s="41" t="e">
        <f>#REF!</f>
        <v>#REF!</v>
      </c>
      <c r="R63" s="42" t="e">
        <f>+Data4[[#This Row],[TOTAL CS IN (MC)]]-Data4[[#This Row],[TOTAL CS OUT (MC)]]</f>
        <v>#REF!</v>
      </c>
      <c r="S63" s="43"/>
    </row>
    <row r="64" spans="1:19" s="44" customFormat="1" ht="40.200000000000003" customHeight="1" x14ac:dyDescent="0.3">
      <c r="A64" s="45"/>
      <c r="B64" s="30" t="s">
        <v>55</v>
      </c>
      <c r="C64" s="46" t="s">
        <v>33</v>
      </c>
      <c r="D64" s="32" t="s">
        <v>34</v>
      </c>
      <c r="E64" s="33" t="e">
        <f>IF(AND(D64&lt;&gt;"",#REF!&lt;&gt; ""), SUBSTITUTE(D64, " KG", "") *#REF!, "")</f>
        <v>#REF!</v>
      </c>
      <c r="F64" s="33" t="s">
        <v>50</v>
      </c>
      <c r="G64" s="34"/>
      <c r="H64" s="33" t="s">
        <v>116</v>
      </c>
      <c r="I64" s="35" t="s">
        <v>115</v>
      </c>
      <c r="J64" s="36">
        <v>284</v>
      </c>
      <c r="K64" s="36"/>
      <c r="L64" s="37" t="s">
        <v>29</v>
      </c>
      <c r="M64" s="38">
        <v>1</v>
      </c>
      <c r="N64" s="39"/>
      <c r="O64" s="39"/>
      <c r="P64" s="40">
        <f>M64</f>
        <v>1</v>
      </c>
      <c r="Q64" s="41" t="e">
        <f>#REF!</f>
        <v>#REF!</v>
      </c>
      <c r="R64" s="42" t="e">
        <f>+Data4[[#This Row],[TOTAL CS IN (MC)]]-Data4[[#This Row],[TOTAL CS OUT (MC)]]</f>
        <v>#REF!</v>
      </c>
      <c r="S64" s="43"/>
    </row>
    <row r="65" spans="1:19" s="44" customFormat="1" ht="40.200000000000003" customHeight="1" x14ac:dyDescent="0.3">
      <c r="A65" s="45"/>
      <c r="B65" s="30" t="s">
        <v>55</v>
      </c>
      <c r="C65" s="46" t="s">
        <v>56</v>
      </c>
      <c r="D65" s="32" t="s">
        <v>34</v>
      </c>
      <c r="E65" s="33" t="e">
        <f>IF(AND(D65&lt;&gt;"",#REF!&lt;&gt; ""), SUBSTITUTE(D65, " KG", "") *#REF!, "")</f>
        <v>#REF!</v>
      </c>
      <c r="F65" s="33" t="s">
        <v>50</v>
      </c>
      <c r="G65" s="34"/>
      <c r="H65" s="33" t="s">
        <v>116</v>
      </c>
      <c r="I65" s="35" t="s">
        <v>115</v>
      </c>
      <c r="J65" s="36">
        <v>284</v>
      </c>
      <c r="K65" s="36"/>
      <c r="L65" s="37" t="s">
        <v>29</v>
      </c>
      <c r="M65" s="38">
        <v>1</v>
      </c>
      <c r="N65" s="39"/>
      <c r="O65" s="39"/>
      <c r="P65" s="40">
        <f>M65</f>
        <v>1</v>
      </c>
      <c r="Q65" s="41" t="e">
        <f>#REF!</f>
        <v>#REF!</v>
      </c>
      <c r="R65" s="42" t="e">
        <f>+Data4[[#This Row],[TOTAL CS IN (MC)]]-Data4[[#This Row],[TOTAL CS OUT (MC)]]</f>
        <v>#REF!</v>
      </c>
      <c r="S65" s="43"/>
    </row>
    <row r="66" spans="1:19" s="44" customFormat="1" ht="40.200000000000003" customHeight="1" x14ac:dyDescent="0.3">
      <c r="A66" s="45"/>
      <c r="B66" s="30" t="s">
        <v>55</v>
      </c>
      <c r="C66" s="46" t="s">
        <v>109</v>
      </c>
      <c r="D66" s="32" t="s">
        <v>34</v>
      </c>
      <c r="E66" s="33" t="e">
        <f>IF(AND(D66&lt;&gt;"",#REF!&lt;&gt; ""), SUBSTITUTE(D66, " KG", "") *#REF!, "")</f>
        <v>#REF!</v>
      </c>
      <c r="F66" s="33"/>
      <c r="G66" s="34" t="s">
        <v>39</v>
      </c>
      <c r="H66" s="33"/>
      <c r="I66" s="35" t="s">
        <v>115</v>
      </c>
      <c r="J66" s="36">
        <v>284</v>
      </c>
      <c r="K66" s="36"/>
      <c r="L66" s="37" t="s">
        <v>29</v>
      </c>
      <c r="M66" s="38">
        <v>6</v>
      </c>
      <c r="N66" s="39"/>
      <c r="O66" s="39"/>
      <c r="P66" s="40">
        <f>M66</f>
        <v>6</v>
      </c>
      <c r="Q66" s="41" t="e">
        <f>#REF!</f>
        <v>#REF!</v>
      </c>
      <c r="R66" s="42" t="e">
        <f>+Data4[[#This Row],[TOTAL CS IN (MC)]]-Data4[[#This Row],[TOTAL CS OUT (MC)]]</f>
        <v>#REF!</v>
      </c>
      <c r="S66" s="43"/>
    </row>
    <row r="67" spans="1:19" s="44" customFormat="1" ht="40.200000000000003" customHeight="1" x14ac:dyDescent="0.3">
      <c r="A67" s="45"/>
      <c r="B67" s="30" t="s">
        <v>55</v>
      </c>
      <c r="C67" s="46" t="s">
        <v>33</v>
      </c>
      <c r="D67" s="32" t="s">
        <v>34</v>
      </c>
      <c r="E67" s="33" t="e">
        <f>IF(AND(D67&lt;&gt;"",#REF!&lt;&gt; ""), SUBSTITUTE(D67, " KG", "") *#REF!, "")</f>
        <v>#REF!</v>
      </c>
      <c r="F67" s="33"/>
      <c r="G67" s="34" t="s">
        <v>39</v>
      </c>
      <c r="H67" s="33"/>
      <c r="I67" s="35" t="s">
        <v>115</v>
      </c>
      <c r="J67" s="36">
        <v>284</v>
      </c>
      <c r="K67" s="36"/>
      <c r="L67" s="37" t="s">
        <v>29</v>
      </c>
      <c r="M67" s="38">
        <v>2</v>
      </c>
      <c r="N67" s="39"/>
      <c r="O67" s="39"/>
      <c r="P67" s="40">
        <f>M67</f>
        <v>2</v>
      </c>
      <c r="Q67" s="41" t="e">
        <f>#REF!</f>
        <v>#REF!</v>
      </c>
      <c r="R67" s="42" t="e">
        <f>+Data4[[#This Row],[TOTAL CS IN (MC)]]-Data4[[#This Row],[TOTAL CS OUT (MC)]]</f>
        <v>#REF!</v>
      </c>
      <c r="S67" s="43"/>
    </row>
    <row r="68" spans="1:19" s="44" customFormat="1" ht="40.200000000000003" customHeight="1" x14ac:dyDescent="0.3">
      <c r="A68" s="45"/>
      <c r="B68" s="30" t="s">
        <v>55</v>
      </c>
      <c r="C68" s="46" t="s">
        <v>93</v>
      </c>
      <c r="D68" s="32" t="s">
        <v>34</v>
      </c>
      <c r="E68" s="33" t="e">
        <f>IF(AND(D68&lt;&gt;"",#REF!&lt;&gt; ""), SUBSTITUTE(D68, " KG", "") *#REF!, "")</f>
        <v>#REF!</v>
      </c>
      <c r="F68" s="33"/>
      <c r="G68" s="34" t="s">
        <v>39</v>
      </c>
      <c r="H68" s="33"/>
      <c r="I68" s="35" t="s">
        <v>115</v>
      </c>
      <c r="J68" s="36">
        <v>284</v>
      </c>
      <c r="K68" s="36"/>
      <c r="L68" s="37" t="s">
        <v>29</v>
      </c>
      <c r="M68" s="38">
        <v>2</v>
      </c>
      <c r="N68" s="39"/>
      <c r="O68" s="39"/>
      <c r="P68" s="40">
        <f>M68</f>
        <v>2</v>
      </c>
      <c r="Q68" s="41" t="e">
        <f>#REF!</f>
        <v>#REF!</v>
      </c>
      <c r="R68" s="42" t="e">
        <f>+Data4[[#This Row],[TOTAL CS IN (MC)]]-Data4[[#This Row],[TOTAL CS OUT (MC)]]</f>
        <v>#REF!</v>
      </c>
      <c r="S68" s="43"/>
    </row>
    <row r="69" spans="1:19" s="44" customFormat="1" ht="40.200000000000003" customHeight="1" x14ac:dyDescent="0.3">
      <c r="A69" s="45"/>
      <c r="B69" s="30" t="s">
        <v>55</v>
      </c>
      <c r="C69" s="46" t="s">
        <v>93</v>
      </c>
      <c r="D69" s="32" t="s">
        <v>34</v>
      </c>
      <c r="E69" s="33" t="e">
        <f>IF(AND(D69&lt;&gt;"",#REF!&lt;&gt; ""), SUBSTITUTE(D69, " KG", "") *#REF!, "")</f>
        <v>#REF!</v>
      </c>
      <c r="F69" s="33"/>
      <c r="G69" s="34" t="s">
        <v>54</v>
      </c>
      <c r="H69" s="33"/>
      <c r="I69" s="35" t="s">
        <v>115</v>
      </c>
      <c r="J69" s="36">
        <v>284</v>
      </c>
      <c r="K69" s="36"/>
      <c r="L69" s="37" t="s">
        <v>29</v>
      </c>
      <c r="M69" s="38">
        <v>2</v>
      </c>
      <c r="N69" s="39"/>
      <c r="O69" s="39"/>
      <c r="P69" s="40">
        <f>M69</f>
        <v>2</v>
      </c>
      <c r="Q69" s="41" t="e">
        <f>#REF!</f>
        <v>#REF!</v>
      </c>
      <c r="R69" s="42" t="e">
        <f>+Data4[[#This Row],[TOTAL CS IN (MC)]]-Data4[[#This Row],[TOTAL CS OUT (MC)]]</f>
        <v>#REF!</v>
      </c>
      <c r="S69" s="43"/>
    </row>
    <row r="70" spans="1:19" s="44" customFormat="1" ht="40.200000000000003" customHeight="1" x14ac:dyDescent="0.3">
      <c r="A70" s="45"/>
      <c r="B70" s="30" t="s">
        <v>117</v>
      </c>
      <c r="C70" s="46" t="s">
        <v>118</v>
      </c>
      <c r="D70" s="32" t="s">
        <v>34</v>
      </c>
      <c r="E70" s="33" t="e">
        <f>IF(AND(D70&lt;&gt;"",#REF!&lt;&gt; ""), SUBSTITUTE(D70, " KG", "") *#REF!, "")</f>
        <v>#REF!</v>
      </c>
      <c r="F70" s="33"/>
      <c r="G70" s="34" t="s">
        <v>39</v>
      </c>
      <c r="H70" s="33"/>
      <c r="I70" s="35" t="s">
        <v>115</v>
      </c>
      <c r="J70" s="36">
        <v>284</v>
      </c>
      <c r="K70" s="36"/>
      <c r="L70" s="37" t="s">
        <v>29</v>
      </c>
      <c r="M70" s="38">
        <v>1</v>
      </c>
      <c r="N70" s="39"/>
      <c r="O70" s="39"/>
      <c r="P70" s="40">
        <f>M70</f>
        <v>1</v>
      </c>
      <c r="Q70" s="41" t="e">
        <f>#REF!</f>
        <v>#REF!</v>
      </c>
      <c r="R70" s="42" t="e">
        <f>+Data4[[#This Row],[TOTAL CS IN (MC)]]-Data4[[#This Row],[TOTAL CS OUT (MC)]]</f>
        <v>#REF!</v>
      </c>
      <c r="S70" s="43"/>
    </row>
    <row r="71" spans="1:19" s="44" customFormat="1" ht="40.200000000000003" customHeight="1" x14ac:dyDescent="0.3">
      <c r="A71" s="45"/>
      <c r="B71" s="30" t="s">
        <v>32</v>
      </c>
      <c r="C71" s="46" t="s">
        <v>56</v>
      </c>
      <c r="D71" s="32" t="s">
        <v>34</v>
      </c>
      <c r="E71" s="33" t="e">
        <f>IF(AND(D71&lt;&gt;"",#REF!&lt;&gt; ""), SUBSTITUTE(D71, " KG", "") *#REF!, "")</f>
        <v>#REF!</v>
      </c>
      <c r="F71" s="33"/>
      <c r="G71" s="34" t="s">
        <v>39</v>
      </c>
      <c r="H71" s="33"/>
      <c r="I71" s="35" t="s">
        <v>115</v>
      </c>
      <c r="J71" s="36">
        <v>284</v>
      </c>
      <c r="K71" s="36"/>
      <c r="L71" s="37" t="s">
        <v>29</v>
      </c>
      <c r="M71" s="38">
        <v>1</v>
      </c>
      <c r="N71" s="39"/>
      <c r="O71" s="39"/>
      <c r="P71" s="40">
        <f>M71</f>
        <v>1</v>
      </c>
      <c r="Q71" s="41" t="e">
        <f>#REF!</f>
        <v>#REF!</v>
      </c>
      <c r="R71" s="42" t="e">
        <f>+Data4[[#This Row],[TOTAL CS IN (MC)]]-Data4[[#This Row],[TOTAL CS OUT (MC)]]</f>
        <v>#REF!</v>
      </c>
      <c r="S71" s="43"/>
    </row>
    <row r="72" spans="1:19" s="44" customFormat="1" ht="40.200000000000003" customHeight="1" x14ac:dyDescent="0.3">
      <c r="A72" s="45"/>
      <c r="B72" s="30" t="s">
        <v>119</v>
      </c>
      <c r="C72" s="46" t="s">
        <v>120</v>
      </c>
      <c r="D72" s="32" t="s">
        <v>47</v>
      </c>
      <c r="E72" s="33" t="e">
        <f>IF(AND(D72&lt;&gt;"",#REF!&lt;&gt; ""), SUBSTITUTE(D72, " KG", "") *#REF!, "")</f>
        <v>#REF!</v>
      </c>
      <c r="F72" s="33"/>
      <c r="G72" s="34"/>
      <c r="H72" s="33"/>
      <c r="I72" s="35" t="s">
        <v>121</v>
      </c>
      <c r="J72" s="36">
        <v>92</v>
      </c>
      <c r="K72" s="36">
        <v>1</v>
      </c>
      <c r="L72" s="37" t="s">
        <v>29</v>
      </c>
      <c r="M72" s="38">
        <v>25</v>
      </c>
      <c r="N72" s="39"/>
      <c r="O72" s="39"/>
      <c r="P72" s="40">
        <f>M72</f>
        <v>25</v>
      </c>
      <c r="Q72" s="41" t="e">
        <f>#REF!</f>
        <v>#REF!</v>
      </c>
      <c r="R72" s="42" t="e">
        <f>+Data4[[#This Row],[TOTAL CS IN (MC)]]-Data4[[#This Row],[TOTAL CS OUT (MC)]]</f>
        <v>#REF!</v>
      </c>
      <c r="S72" s="43"/>
    </row>
    <row r="73" spans="1:19" s="44" customFormat="1" ht="40.200000000000003" customHeight="1" x14ac:dyDescent="0.3">
      <c r="A73" s="45"/>
      <c r="B73" s="30" t="s">
        <v>122</v>
      </c>
      <c r="C73" s="46" t="s">
        <v>123</v>
      </c>
      <c r="D73" s="32" t="s">
        <v>47</v>
      </c>
      <c r="E73" s="33" t="e">
        <f>IF(AND(D73&lt;&gt;"",#REF!&lt;&gt; ""), SUBSTITUTE(D73, " KG", "") *#REF!, "")</f>
        <v>#REF!</v>
      </c>
      <c r="F73" s="33"/>
      <c r="G73" s="34"/>
      <c r="H73" s="33"/>
      <c r="I73" s="35" t="s">
        <v>121</v>
      </c>
      <c r="J73" s="36">
        <v>92</v>
      </c>
      <c r="K73" s="36"/>
      <c r="L73" s="37" t="s">
        <v>29</v>
      </c>
      <c r="M73" s="38">
        <v>21</v>
      </c>
      <c r="N73" s="39"/>
      <c r="O73" s="39"/>
      <c r="P73" s="40">
        <f>M73</f>
        <v>21</v>
      </c>
      <c r="Q73" s="41" t="e">
        <f>#REF!</f>
        <v>#REF!</v>
      </c>
      <c r="R73" s="42" t="e">
        <f>+Data4[[#This Row],[TOTAL CS IN (MC)]]-Data4[[#This Row],[TOTAL CS OUT (MC)]]</f>
        <v>#REF!</v>
      </c>
      <c r="S73" s="43"/>
    </row>
    <row r="74" spans="1:19" s="44" customFormat="1" ht="40.200000000000003" customHeight="1" x14ac:dyDescent="0.3">
      <c r="A74" s="45"/>
      <c r="B74" s="30" t="s">
        <v>60</v>
      </c>
      <c r="C74" s="46" t="s">
        <v>124</v>
      </c>
      <c r="D74" s="32" t="s">
        <v>34</v>
      </c>
      <c r="E74" s="33" t="e">
        <f>IF(AND(D74&lt;&gt;"",#REF!&lt;&gt; ""), SUBSTITUTE(D74, " KG", "") *#REF!, "")</f>
        <v>#REF!</v>
      </c>
      <c r="F74" s="33"/>
      <c r="G74" s="34" t="s">
        <v>39</v>
      </c>
      <c r="H74" s="33"/>
      <c r="I74" s="35" t="s">
        <v>125</v>
      </c>
      <c r="J74" s="36">
        <v>289</v>
      </c>
      <c r="K74" s="36">
        <v>1</v>
      </c>
      <c r="L74" s="37" t="s">
        <v>29</v>
      </c>
      <c r="M74" s="38">
        <v>6</v>
      </c>
      <c r="N74" s="39"/>
      <c r="O74" s="39"/>
      <c r="P74" s="40">
        <f>M74</f>
        <v>6</v>
      </c>
      <c r="Q74" s="41" t="e">
        <f>#REF!</f>
        <v>#REF!</v>
      </c>
      <c r="R74" s="42" t="e">
        <f>+Data4[[#This Row],[TOTAL CS IN (MC)]]-Data4[[#This Row],[TOTAL CS OUT (MC)]]</f>
        <v>#REF!</v>
      </c>
      <c r="S74" s="43"/>
    </row>
    <row r="75" spans="1:19" s="44" customFormat="1" ht="40.200000000000003" customHeight="1" x14ac:dyDescent="0.3">
      <c r="A75" s="45"/>
      <c r="B75" s="30" t="s">
        <v>60</v>
      </c>
      <c r="C75" s="46" t="s">
        <v>124</v>
      </c>
      <c r="D75" s="32" t="s">
        <v>34</v>
      </c>
      <c r="E75" s="33" t="e">
        <f>IF(AND(D75&lt;&gt;"",#REF!&lt;&gt; ""), SUBSTITUTE(D75, " KG", "") *#REF!, "")</f>
        <v>#REF!</v>
      </c>
      <c r="F75" s="33"/>
      <c r="G75" s="34" t="s">
        <v>51</v>
      </c>
      <c r="H75" s="33"/>
      <c r="I75" s="35" t="s">
        <v>125</v>
      </c>
      <c r="J75" s="36">
        <v>289</v>
      </c>
      <c r="K75" s="36"/>
      <c r="L75" s="37" t="s">
        <v>29</v>
      </c>
      <c r="M75" s="38">
        <v>5</v>
      </c>
      <c r="N75" s="39"/>
      <c r="O75" s="39"/>
      <c r="P75" s="40">
        <f>M75</f>
        <v>5</v>
      </c>
      <c r="Q75" s="41" t="e">
        <f>#REF!</f>
        <v>#REF!</v>
      </c>
      <c r="R75" s="42" t="e">
        <f>+Data4[[#This Row],[TOTAL CS IN (MC)]]-Data4[[#This Row],[TOTAL CS OUT (MC)]]</f>
        <v>#REF!</v>
      </c>
      <c r="S75" s="43"/>
    </row>
    <row r="76" spans="1:19" s="44" customFormat="1" ht="40.200000000000003" customHeight="1" x14ac:dyDescent="0.3">
      <c r="A76" s="45"/>
      <c r="B76" s="30" t="s">
        <v>60</v>
      </c>
      <c r="C76" s="46" t="s">
        <v>124</v>
      </c>
      <c r="D76" s="32" t="s">
        <v>34</v>
      </c>
      <c r="E76" s="33" t="e">
        <f>IF(AND(D76&lt;&gt;"",#REF!&lt;&gt; ""), SUBSTITUTE(D76, " KG", "") *#REF!, "")</f>
        <v>#REF!</v>
      </c>
      <c r="F76" s="33"/>
      <c r="G76" s="34" t="s">
        <v>126</v>
      </c>
      <c r="H76" s="33"/>
      <c r="I76" s="35" t="s">
        <v>125</v>
      </c>
      <c r="J76" s="36">
        <v>289</v>
      </c>
      <c r="K76" s="36"/>
      <c r="L76" s="37" t="s">
        <v>29</v>
      </c>
      <c r="M76" s="38">
        <v>2</v>
      </c>
      <c r="N76" s="39"/>
      <c r="O76" s="39"/>
      <c r="P76" s="40">
        <f>M76</f>
        <v>2</v>
      </c>
      <c r="Q76" s="41" t="e">
        <f>#REF!</f>
        <v>#REF!</v>
      </c>
      <c r="R76" s="42" t="e">
        <f>+Data4[[#This Row],[TOTAL CS IN (MC)]]-Data4[[#This Row],[TOTAL CS OUT (MC)]]</f>
        <v>#REF!</v>
      </c>
      <c r="S76" s="43"/>
    </row>
    <row r="77" spans="1:19" s="44" customFormat="1" ht="40.200000000000003" customHeight="1" x14ac:dyDescent="0.3">
      <c r="A77" s="45"/>
      <c r="B77" s="30" t="s">
        <v>60</v>
      </c>
      <c r="C77" s="46" t="s">
        <v>61</v>
      </c>
      <c r="D77" s="32" t="s">
        <v>34</v>
      </c>
      <c r="E77" s="33" t="e">
        <f>IF(AND(D77&lt;&gt;"",#REF!&lt;&gt; ""), SUBSTITUTE(D77, " KG", "") *#REF!, "")</f>
        <v>#REF!</v>
      </c>
      <c r="F77" s="33"/>
      <c r="G77" s="34" t="s">
        <v>39</v>
      </c>
      <c r="H77" s="33"/>
      <c r="I77" s="35" t="s">
        <v>125</v>
      </c>
      <c r="J77" s="36">
        <v>289</v>
      </c>
      <c r="K77" s="36"/>
      <c r="L77" s="37" t="s">
        <v>29</v>
      </c>
      <c r="M77" s="38">
        <v>6</v>
      </c>
      <c r="N77" s="39"/>
      <c r="O77" s="39"/>
      <c r="P77" s="40">
        <f>M77</f>
        <v>6</v>
      </c>
      <c r="Q77" s="41" t="e">
        <f>#REF!</f>
        <v>#REF!</v>
      </c>
      <c r="R77" s="42" t="e">
        <f>+Data4[[#This Row],[TOTAL CS IN (MC)]]-Data4[[#This Row],[TOTAL CS OUT (MC)]]</f>
        <v>#REF!</v>
      </c>
      <c r="S77" s="43"/>
    </row>
    <row r="78" spans="1:19" s="44" customFormat="1" ht="40.200000000000003" customHeight="1" x14ac:dyDescent="0.3">
      <c r="A78" s="45"/>
      <c r="B78" s="30" t="s">
        <v>60</v>
      </c>
      <c r="C78" s="46" t="s">
        <v>61</v>
      </c>
      <c r="D78" s="32" t="s">
        <v>34</v>
      </c>
      <c r="E78" s="33" t="e">
        <f>IF(AND(D78&lt;&gt;"",#REF!&lt;&gt; ""), SUBSTITUTE(D78, " KG", "") *#REF!, "")</f>
        <v>#REF!</v>
      </c>
      <c r="F78" s="33"/>
      <c r="G78" s="34" t="s">
        <v>51</v>
      </c>
      <c r="H78" s="33"/>
      <c r="I78" s="35" t="s">
        <v>125</v>
      </c>
      <c r="J78" s="36">
        <v>289</v>
      </c>
      <c r="K78" s="36"/>
      <c r="L78" s="37" t="s">
        <v>29</v>
      </c>
      <c r="M78" s="38">
        <v>2</v>
      </c>
      <c r="N78" s="39"/>
      <c r="O78" s="39"/>
      <c r="P78" s="40">
        <f>M78</f>
        <v>2</v>
      </c>
      <c r="Q78" s="41" t="e">
        <f>#REF!</f>
        <v>#REF!</v>
      </c>
      <c r="R78" s="42" t="e">
        <f>+Data4[[#This Row],[TOTAL CS IN (MC)]]-Data4[[#This Row],[TOTAL CS OUT (MC)]]</f>
        <v>#REF!</v>
      </c>
      <c r="S78" s="43"/>
    </row>
    <row r="79" spans="1:19" s="44" customFormat="1" ht="40.200000000000003" customHeight="1" x14ac:dyDescent="0.3">
      <c r="A79" s="45"/>
      <c r="B79" s="30" t="s">
        <v>127</v>
      </c>
      <c r="C79" s="46" t="s">
        <v>128</v>
      </c>
      <c r="D79" s="32" t="s">
        <v>34</v>
      </c>
      <c r="E79" s="33" t="e">
        <f>IF(AND(D79&lt;&gt;"",#REF!&lt;&gt; ""), SUBSTITUTE(D79, " KG", "") *#REF!, "")</f>
        <v>#REF!</v>
      </c>
      <c r="F79" s="33" t="s">
        <v>50</v>
      </c>
      <c r="G79" s="34"/>
      <c r="H79" s="33"/>
      <c r="I79" s="35" t="s">
        <v>129</v>
      </c>
      <c r="J79" s="36">
        <v>354</v>
      </c>
      <c r="K79" s="36">
        <v>1</v>
      </c>
      <c r="L79" s="37" t="s">
        <v>29</v>
      </c>
      <c r="M79" s="38">
        <v>28</v>
      </c>
      <c r="N79" s="39"/>
      <c r="O79" s="39"/>
      <c r="P79" s="40">
        <f>M79</f>
        <v>28</v>
      </c>
      <c r="Q79" s="41" t="e">
        <f>#REF!</f>
        <v>#REF!</v>
      </c>
      <c r="R79" s="42" t="e">
        <f>+Data4[[#This Row],[TOTAL CS IN (MC)]]-Data4[[#This Row],[TOTAL CS OUT (MC)]]</f>
        <v>#REF!</v>
      </c>
      <c r="S79" s="43"/>
    </row>
    <row r="80" spans="1:19" s="44" customFormat="1" ht="40.200000000000003" customHeight="1" x14ac:dyDescent="0.3">
      <c r="A80" s="45"/>
      <c r="B80" s="30" t="s">
        <v>117</v>
      </c>
      <c r="C80" s="46" t="s">
        <v>33</v>
      </c>
      <c r="D80" s="32" t="s">
        <v>34</v>
      </c>
      <c r="E80" s="33" t="e">
        <f>IF(AND(D80&lt;&gt;"",#REF!&lt;&gt; ""), SUBSTITUTE(D80, " KG", "") *#REF!, "")</f>
        <v>#REF!</v>
      </c>
      <c r="F80" s="33"/>
      <c r="G80" s="34" t="s">
        <v>39</v>
      </c>
      <c r="H80" s="33"/>
      <c r="I80" s="35" t="s">
        <v>130</v>
      </c>
      <c r="J80" s="36">
        <v>1032</v>
      </c>
      <c r="K80" s="36">
        <v>1</v>
      </c>
      <c r="L80" s="37" t="s">
        <v>29</v>
      </c>
      <c r="M80" s="38">
        <v>8</v>
      </c>
      <c r="N80" s="39"/>
      <c r="O80" s="39"/>
      <c r="P80" s="40">
        <f>M80</f>
        <v>8</v>
      </c>
      <c r="Q80" s="41" t="e">
        <f>#REF!</f>
        <v>#REF!</v>
      </c>
      <c r="R80" s="42" t="e">
        <f>+Data4[[#This Row],[TOTAL CS IN (MC)]]-Data4[[#This Row],[TOTAL CS OUT (MC)]]</f>
        <v>#REF!</v>
      </c>
      <c r="S80" s="43"/>
    </row>
    <row r="81" spans="1:19" s="44" customFormat="1" ht="40.200000000000003" customHeight="1" x14ac:dyDescent="0.3">
      <c r="A81" s="45"/>
      <c r="B81" s="30" t="s">
        <v>117</v>
      </c>
      <c r="C81" s="46" t="s">
        <v>33</v>
      </c>
      <c r="D81" s="32" t="s">
        <v>34</v>
      </c>
      <c r="E81" s="33" t="e">
        <f>IF(AND(D81&lt;&gt;"",#REF!&lt;&gt; ""), SUBSTITUTE(D81, " KG", "") *#REF!, "")</f>
        <v>#REF!</v>
      </c>
      <c r="F81" s="33"/>
      <c r="G81" s="34" t="s">
        <v>51</v>
      </c>
      <c r="H81" s="33" t="s">
        <v>131</v>
      </c>
      <c r="I81" s="35" t="s">
        <v>130</v>
      </c>
      <c r="J81" s="36">
        <v>1032</v>
      </c>
      <c r="K81" s="36"/>
      <c r="L81" s="37" t="s">
        <v>29</v>
      </c>
      <c r="M81" s="38">
        <v>21</v>
      </c>
      <c r="N81" s="39"/>
      <c r="O81" s="39"/>
      <c r="P81" s="40">
        <f>M81</f>
        <v>21</v>
      </c>
      <c r="Q81" s="41" t="e">
        <f>#REF!</f>
        <v>#REF!</v>
      </c>
      <c r="R81" s="42" t="e">
        <f>+Data4[[#This Row],[TOTAL CS IN (MC)]]-Data4[[#This Row],[TOTAL CS OUT (MC)]]</f>
        <v>#REF!</v>
      </c>
      <c r="S81" s="43"/>
    </row>
    <row r="82" spans="1:19" s="44" customFormat="1" ht="40.200000000000003" customHeight="1" x14ac:dyDescent="0.3">
      <c r="A82" s="45"/>
      <c r="B82" s="30" t="s">
        <v>117</v>
      </c>
      <c r="C82" s="46" t="s">
        <v>56</v>
      </c>
      <c r="D82" s="32" t="s">
        <v>34</v>
      </c>
      <c r="E82" s="33" t="e">
        <f>IF(AND(D82&lt;&gt;"",#REF!&lt;&gt; ""), SUBSTITUTE(D82, " KG", "") *#REF!, "")</f>
        <v>#REF!</v>
      </c>
      <c r="F82" s="33"/>
      <c r="G82" s="34" t="s">
        <v>51</v>
      </c>
      <c r="H82" s="33"/>
      <c r="I82" s="35" t="s">
        <v>130</v>
      </c>
      <c r="J82" s="36">
        <v>1032</v>
      </c>
      <c r="K82" s="36"/>
      <c r="L82" s="37" t="s">
        <v>29</v>
      </c>
      <c r="M82" s="38">
        <v>9</v>
      </c>
      <c r="N82" s="39"/>
      <c r="O82" s="39"/>
      <c r="P82" s="40">
        <f>M82</f>
        <v>9</v>
      </c>
      <c r="Q82" s="41" t="e">
        <f>#REF!</f>
        <v>#REF!</v>
      </c>
      <c r="R82" s="42" t="e">
        <f>+Data4[[#This Row],[TOTAL CS IN (MC)]]-Data4[[#This Row],[TOTAL CS OUT (MC)]]</f>
        <v>#REF!</v>
      </c>
      <c r="S82" s="43"/>
    </row>
    <row r="83" spans="1:19" s="44" customFormat="1" ht="40.200000000000003" customHeight="1" x14ac:dyDescent="0.3">
      <c r="A83" s="45"/>
      <c r="B83" s="30" t="s">
        <v>117</v>
      </c>
      <c r="C83" s="46" t="s">
        <v>118</v>
      </c>
      <c r="D83" s="32" t="s">
        <v>34</v>
      </c>
      <c r="E83" s="33" t="e">
        <f>IF(AND(D83&lt;&gt;"",#REF!&lt;&gt; ""), SUBSTITUTE(D83, " KG", "") *#REF!, "")</f>
        <v>#REF!</v>
      </c>
      <c r="F83" s="33"/>
      <c r="G83" s="34" t="s">
        <v>39</v>
      </c>
      <c r="H83" s="33"/>
      <c r="I83" s="35" t="s">
        <v>130</v>
      </c>
      <c r="J83" s="36">
        <v>1032</v>
      </c>
      <c r="K83" s="36"/>
      <c r="L83" s="37" t="s">
        <v>29</v>
      </c>
      <c r="M83" s="38">
        <v>2</v>
      </c>
      <c r="N83" s="39"/>
      <c r="O83" s="39"/>
      <c r="P83" s="40">
        <f>M83</f>
        <v>2</v>
      </c>
      <c r="Q83" s="41" t="e">
        <f>#REF!</f>
        <v>#REF!</v>
      </c>
      <c r="R83" s="42" t="e">
        <f>+Data4[[#This Row],[TOTAL CS IN (MC)]]-Data4[[#This Row],[TOTAL CS OUT (MC)]]</f>
        <v>#REF!</v>
      </c>
      <c r="S83" s="43"/>
    </row>
    <row r="84" spans="1:19" s="44" customFormat="1" ht="40.200000000000003" customHeight="1" x14ac:dyDescent="0.3">
      <c r="A84" s="45"/>
      <c r="B84" s="30" t="s">
        <v>117</v>
      </c>
      <c r="C84" s="46" t="s">
        <v>56</v>
      </c>
      <c r="D84" s="32" t="s">
        <v>34</v>
      </c>
      <c r="E84" s="33" t="e">
        <f>IF(AND(D84&lt;&gt;"",#REF!&lt;&gt; ""), SUBSTITUTE(D84, " KG", "") *#REF!, "")</f>
        <v>#REF!</v>
      </c>
      <c r="F84" s="33"/>
      <c r="G84" s="34" t="s">
        <v>39</v>
      </c>
      <c r="H84" s="33" t="s">
        <v>131</v>
      </c>
      <c r="I84" s="35" t="s">
        <v>130</v>
      </c>
      <c r="J84" s="36">
        <v>1032</v>
      </c>
      <c r="K84" s="36"/>
      <c r="L84" s="37" t="s">
        <v>29</v>
      </c>
      <c r="M84" s="38">
        <v>2</v>
      </c>
      <c r="N84" s="39"/>
      <c r="O84" s="39"/>
      <c r="P84" s="40">
        <f>M84</f>
        <v>2</v>
      </c>
      <c r="Q84" s="41" t="e">
        <f>#REF!</f>
        <v>#REF!</v>
      </c>
      <c r="R84" s="42" t="e">
        <f>+Data4[[#This Row],[TOTAL CS IN (MC)]]-Data4[[#This Row],[TOTAL CS OUT (MC)]]</f>
        <v>#REF!</v>
      </c>
      <c r="S84" s="43"/>
    </row>
    <row r="85" spans="1:19" s="44" customFormat="1" ht="40.200000000000003" customHeight="1" x14ac:dyDescent="0.3">
      <c r="A85" s="45"/>
      <c r="B85" s="30" t="s">
        <v>132</v>
      </c>
      <c r="C85" s="46" t="s">
        <v>56</v>
      </c>
      <c r="D85" s="32" t="s">
        <v>34</v>
      </c>
      <c r="E85" s="33" t="e">
        <f>IF(AND(D85&lt;&gt;"",#REF!&lt;&gt; ""), SUBSTITUTE(D85, " KG", "") *#REF!, "")</f>
        <v>#REF!</v>
      </c>
      <c r="F85" s="33" t="s">
        <v>50</v>
      </c>
      <c r="G85" s="34"/>
      <c r="H85" s="33"/>
      <c r="I85" s="35" t="s">
        <v>130</v>
      </c>
      <c r="J85" s="36">
        <v>1032</v>
      </c>
      <c r="K85" s="36"/>
      <c r="L85" s="37" t="s">
        <v>29</v>
      </c>
      <c r="M85" s="38">
        <v>1</v>
      </c>
      <c r="N85" s="39"/>
      <c r="O85" s="39"/>
      <c r="P85" s="40">
        <f>M85</f>
        <v>1</v>
      </c>
      <c r="Q85" s="41" t="e">
        <f>#REF!</f>
        <v>#REF!</v>
      </c>
      <c r="R85" s="42" t="e">
        <f>+Data4[[#This Row],[TOTAL CS IN (MC)]]-Data4[[#This Row],[TOTAL CS OUT (MC)]]</f>
        <v>#REF!</v>
      </c>
      <c r="S85" s="43"/>
    </row>
    <row r="86" spans="1:19" s="44" customFormat="1" ht="40.200000000000003" customHeight="1" x14ac:dyDescent="0.3">
      <c r="A86" s="45"/>
      <c r="B86" s="30" t="s">
        <v>132</v>
      </c>
      <c r="C86" s="46" t="s">
        <v>33</v>
      </c>
      <c r="D86" s="32" t="s">
        <v>34</v>
      </c>
      <c r="E86" s="33" t="e">
        <f>IF(AND(D86&lt;&gt;"",#REF!&lt;&gt; ""), SUBSTITUTE(D86, " KG", "") *#REF!, "")</f>
        <v>#REF!</v>
      </c>
      <c r="F86" s="33" t="s">
        <v>50</v>
      </c>
      <c r="G86" s="34"/>
      <c r="H86" s="33"/>
      <c r="I86" s="35" t="s">
        <v>130</v>
      </c>
      <c r="J86" s="36">
        <v>1032</v>
      </c>
      <c r="K86" s="36"/>
      <c r="L86" s="37" t="s">
        <v>29</v>
      </c>
      <c r="M86" s="38">
        <v>1</v>
      </c>
      <c r="N86" s="39"/>
      <c r="O86" s="39"/>
      <c r="P86" s="40">
        <f>M86</f>
        <v>1</v>
      </c>
      <c r="Q86" s="41" t="e">
        <f>#REF!</f>
        <v>#REF!</v>
      </c>
      <c r="R86" s="42" t="e">
        <f>+Data4[[#This Row],[TOTAL CS IN (MC)]]-Data4[[#This Row],[TOTAL CS OUT (MC)]]</f>
        <v>#REF!</v>
      </c>
      <c r="S86" s="43"/>
    </row>
    <row r="87" spans="1:19" s="44" customFormat="1" ht="39.75" customHeight="1" x14ac:dyDescent="0.3">
      <c r="A87" s="45"/>
      <c r="B87" s="30"/>
      <c r="C87" s="46"/>
      <c r="D87" s="33"/>
      <c r="E87" s="33" t="e">
        <f>IF(AND(D87&lt;&gt;"",#REF!&lt;&gt; ""), SUBSTITUTE(D87, " KG", "") *#REF!, "")</f>
        <v>#REF!</v>
      </c>
      <c r="F87" s="33"/>
      <c r="G87" s="34"/>
      <c r="H87" s="33"/>
      <c r="I87" s="35"/>
      <c r="J87" s="36"/>
      <c r="K87" s="36"/>
      <c r="L87" s="37"/>
      <c r="M87" s="38"/>
      <c r="N87" s="39"/>
      <c r="O87" s="39"/>
      <c r="P87" s="40">
        <f>M87</f>
        <v>0</v>
      </c>
      <c r="Q87" s="41" t="e">
        <f>#REF!</f>
        <v>#REF!</v>
      </c>
      <c r="R87" s="42" t="e">
        <f>+Data4[[#This Row],[TOTAL CS IN (MC)]]-Data4[[#This Row],[TOTAL CS OUT (MC)]]</f>
        <v>#REF!</v>
      </c>
      <c r="S87" s="43"/>
    </row>
    <row r="88" spans="1:19" s="44" customFormat="1" ht="39.75" customHeight="1" x14ac:dyDescent="0.3">
      <c r="A88" s="45"/>
      <c r="B88" s="30" t="s">
        <v>133</v>
      </c>
      <c r="C88" s="46" t="s">
        <v>128</v>
      </c>
      <c r="D88" s="32" t="s">
        <v>34</v>
      </c>
      <c r="E88" s="33" t="e">
        <f>IF(AND(D88&lt;&gt;"",#REF!&lt;&gt; ""), SUBSTITUTE(D88, " KG", "") *#REF!, "")</f>
        <v>#REF!</v>
      </c>
      <c r="F88" s="33" t="s">
        <v>50</v>
      </c>
      <c r="G88" s="34"/>
      <c r="H88" s="33"/>
      <c r="I88" s="35" t="s">
        <v>134</v>
      </c>
      <c r="J88" s="36">
        <v>1054</v>
      </c>
      <c r="K88" s="36">
        <v>1</v>
      </c>
      <c r="L88" s="37" t="s">
        <v>29</v>
      </c>
      <c r="M88" s="38">
        <v>46</v>
      </c>
      <c r="N88" s="39"/>
      <c r="O88" s="39"/>
      <c r="P88" s="40">
        <f>M88</f>
        <v>46</v>
      </c>
      <c r="Q88" s="41" t="e">
        <f>#REF!</f>
        <v>#REF!</v>
      </c>
      <c r="R88" s="42" t="e">
        <f>+Data4[[#This Row],[TOTAL CS IN (MC)]]-Data4[[#This Row],[TOTAL CS OUT (MC)]]</f>
        <v>#REF!</v>
      </c>
      <c r="S88" s="43"/>
    </row>
    <row r="89" spans="1:19" s="44" customFormat="1" ht="39.75" customHeight="1" x14ac:dyDescent="0.3">
      <c r="A89" s="45"/>
      <c r="B89" s="30" t="s">
        <v>32</v>
      </c>
      <c r="C89" s="46" t="s">
        <v>33</v>
      </c>
      <c r="D89" s="32" t="s">
        <v>34</v>
      </c>
      <c r="E89" s="33" t="e">
        <f>IF(AND(D89&lt;&gt;"",#REF!&lt;&gt; ""), SUBSTITUTE(D89, " KG", "") *#REF!, "")</f>
        <v>#REF!</v>
      </c>
      <c r="F89" s="33"/>
      <c r="G89" s="34" t="s">
        <v>35</v>
      </c>
      <c r="H89" s="33"/>
      <c r="I89" s="35" t="s">
        <v>135</v>
      </c>
      <c r="J89" s="36">
        <v>708</v>
      </c>
      <c r="K89" s="36">
        <v>1</v>
      </c>
      <c r="L89" s="37" t="s">
        <v>29</v>
      </c>
      <c r="M89" s="38">
        <v>48</v>
      </c>
      <c r="N89" s="39"/>
      <c r="O89" s="39"/>
      <c r="P89" s="40">
        <f>M89</f>
        <v>48</v>
      </c>
      <c r="Q89" s="41" t="e">
        <f>#REF!</f>
        <v>#REF!</v>
      </c>
      <c r="R89" s="42" t="e">
        <f>+Data4[[#This Row],[TOTAL CS IN (MC)]]-Data4[[#This Row],[TOTAL CS OUT (MC)]]</f>
        <v>#REF!</v>
      </c>
      <c r="S89" s="43"/>
    </row>
    <row r="90" spans="1:19" s="44" customFormat="1" ht="39.75" customHeight="1" x14ac:dyDescent="0.3">
      <c r="A90" s="45"/>
      <c r="B90" s="30" t="s">
        <v>55</v>
      </c>
      <c r="C90" s="46" t="s">
        <v>33</v>
      </c>
      <c r="D90" s="32" t="s">
        <v>34</v>
      </c>
      <c r="E90" s="33" t="e">
        <f>IF(AND(D90&lt;&gt;"",#REF!&lt;&gt; ""), SUBSTITUTE(D90, " KG", "") *#REF!, "")</f>
        <v>#REF!</v>
      </c>
      <c r="F90" s="33"/>
      <c r="G90" s="34" t="s">
        <v>35</v>
      </c>
      <c r="H90" s="33"/>
      <c r="I90" s="35" t="s">
        <v>136</v>
      </c>
      <c r="J90" s="36">
        <v>737</v>
      </c>
      <c r="K90" s="36">
        <v>1</v>
      </c>
      <c r="L90" s="37" t="s">
        <v>29</v>
      </c>
      <c r="M90" s="38">
        <v>42</v>
      </c>
      <c r="N90" s="39"/>
      <c r="O90" s="39"/>
      <c r="P90" s="40">
        <f>M90</f>
        <v>42</v>
      </c>
      <c r="Q90" s="41" t="e">
        <f>#REF!</f>
        <v>#REF!</v>
      </c>
      <c r="R90" s="42" t="e">
        <f>+Data4[[#This Row],[TOTAL CS IN (MC)]]-Data4[[#This Row],[TOTAL CS OUT (MC)]]</f>
        <v>#REF!</v>
      </c>
      <c r="S90" s="43"/>
    </row>
    <row r="91" spans="1:19" s="44" customFormat="1" ht="39.75" customHeight="1" x14ac:dyDescent="0.3">
      <c r="A91" s="45"/>
      <c r="B91" s="30" t="s">
        <v>55</v>
      </c>
      <c r="C91" s="46" t="s">
        <v>91</v>
      </c>
      <c r="D91" s="32" t="s">
        <v>34</v>
      </c>
      <c r="E91" s="33" t="e">
        <f>IF(AND(D91&lt;&gt;"",#REF!&lt;&gt; ""), SUBSTITUTE(D91, " KG", "") *#REF!, "")</f>
        <v>#REF!</v>
      </c>
      <c r="F91" s="33"/>
      <c r="G91" s="34" t="s">
        <v>39</v>
      </c>
      <c r="H91" s="33"/>
      <c r="I91" s="35" t="s">
        <v>137</v>
      </c>
      <c r="J91" s="36">
        <v>265</v>
      </c>
      <c r="K91" s="36">
        <v>1</v>
      </c>
      <c r="L91" s="37" t="s">
        <v>29</v>
      </c>
      <c r="M91" s="38">
        <v>17</v>
      </c>
      <c r="N91" s="39"/>
      <c r="O91" s="39"/>
      <c r="P91" s="40">
        <f>M91</f>
        <v>17</v>
      </c>
      <c r="Q91" s="41" t="e">
        <f>#REF!</f>
        <v>#REF!</v>
      </c>
      <c r="R91" s="42" t="e">
        <f>+Data4[[#This Row],[TOTAL CS IN (MC)]]-Data4[[#This Row],[TOTAL CS OUT (MC)]]</f>
        <v>#REF!</v>
      </c>
      <c r="S91" s="43"/>
    </row>
    <row r="92" spans="1:19" s="44" customFormat="1" ht="39.75" customHeight="1" x14ac:dyDescent="0.3">
      <c r="A92" s="45"/>
      <c r="B92" s="30" t="s">
        <v>55</v>
      </c>
      <c r="C92" s="46" t="s">
        <v>109</v>
      </c>
      <c r="D92" s="32" t="s">
        <v>34</v>
      </c>
      <c r="E92" s="33" t="e">
        <f>IF(AND(D92&lt;&gt;"",#REF!&lt;&gt; ""), SUBSTITUTE(D92, " KG", "") *#REF!, "")</f>
        <v>#REF!</v>
      </c>
      <c r="F92" s="33"/>
      <c r="G92" s="34" t="s">
        <v>39</v>
      </c>
      <c r="H92" s="33"/>
      <c r="I92" s="35" t="s">
        <v>137</v>
      </c>
      <c r="J92" s="36">
        <v>265</v>
      </c>
      <c r="K92" s="36"/>
      <c r="L92" s="37" t="s">
        <v>29</v>
      </c>
      <c r="M92" s="38">
        <v>7</v>
      </c>
      <c r="N92" s="39"/>
      <c r="O92" s="39"/>
      <c r="P92" s="40">
        <f>M92</f>
        <v>7</v>
      </c>
      <c r="Q92" s="41" t="e">
        <f>#REF!</f>
        <v>#REF!</v>
      </c>
      <c r="R92" s="42" t="e">
        <f>+Data4[[#This Row],[TOTAL CS IN (MC)]]-Data4[[#This Row],[TOTAL CS OUT (MC)]]</f>
        <v>#REF!</v>
      </c>
      <c r="S92" s="43"/>
    </row>
    <row r="93" spans="1:19" s="44" customFormat="1" ht="39.75" customHeight="1" x14ac:dyDescent="0.3">
      <c r="A93" s="45"/>
      <c r="B93" s="30" t="s">
        <v>55</v>
      </c>
      <c r="C93" s="46" t="s">
        <v>33</v>
      </c>
      <c r="D93" s="32" t="s">
        <v>34</v>
      </c>
      <c r="E93" s="33" t="e">
        <f>IF(AND(D93&lt;&gt;"",#REF!&lt;&gt; ""), SUBSTITUTE(D93, " KG", "") *#REF!, "")</f>
        <v>#REF!</v>
      </c>
      <c r="F93" s="33"/>
      <c r="G93" s="34" t="s">
        <v>51</v>
      </c>
      <c r="H93" s="33"/>
      <c r="I93" s="35" t="s">
        <v>137</v>
      </c>
      <c r="J93" s="36">
        <v>265</v>
      </c>
      <c r="K93" s="36"/>
      <c r="L93" s="37" t="s">
        <v>29</v>
      </c>
      <c r="M93" s="38">
        <v>4</v>
      </c>
      <c r="N93" s="39"/>
      <c r="O93" s="39"/>
      <c r="P93" s="40">
        <f>M93</f>
        <v>4</v>
      </c>
      <c r="Q93" s="41" t="e">
        <f>#REF!</f>
        <v>#REF!</v>
      </c>
      <c r="R93" s="42" t="e">
        <f>+Data4[[#This Row],[TOTAL CS IN (MC)]]-Data4[[#This Row],[TOTAL CS OUT (MC)]]</f>
        <v>#REF!</v>
      </c>
      <c r="S93" s="43"/>
    </row>
    <row r="94" spans="1:19" s="44" customFormat="1" ht="39.75" customHeight="1" x14ac:dyDescent="0.3">
      <c r="A94" s="45"/>
      <c r="B94" s="30" t="s">
        <v>133</v>
      </c>
      <c r="C94" s="46" t="s">
        <v>128</v>
      </c>
      <c r="D94" s="32" t="s">
        <v>34</v>
      </c>
      <c r="E94" s="33" t="e">
        <f>IF(AND(D94&lt;&gt;"",#REF!&lt;&gt; ""), SUBSTITUTE(D94, " KG", "") *#REF!, "")</f>
        <v>#REF!</v>
      </c>
      <c r="F94" s="33" t="s">
        <v>50</v>
      </c>
      <c r="G94" s="34"/>
      <c r="H94" s="33"/>
      <c r="I94" s="35" t="s">
        <v>138</v>
      </c>
      <c r="J94" s="36">
        <v>581</v>
      </c>
      <c r="K94" s="36">
        <v>1</v>
      </c>
      <c r="L94" s="37" t="s">
        <v>29</v>
      </c>
      <c r="M94" s="38">
        <v>48</v>
      </c>
      <c r="N94" s="39"/>
      <c r="O94" s="39"/>
      <c r="P94" s="40">
        <f>M94</f>
        <v>48</v>
      </c>
      <c r="Q94" s="41" t="e">
        <f>#REF!</f>
        <v>#REF!</v>
      </c>
      <c r="R94" s="42" t="e">
        <f>+Data4[[#This Row],[TOTAL CS IN (MC)]]-Data4[[#This Row],[TOTAL CS OUT (MC)]]</f>
        <v>#REF!</v>
      </c>
      <c r="S94" s="43"/>
    </row>
    <row r="95" spans="1:19" s="44" customFormat="1" ht="39.75" customHeight="1" x14ac:dyDescent="0.3">
      <c r="A95" s="45"/>
      <c r="B95" s="30" t="s">
        <v>55</v>
      </c>
      <c r="C95" s="46" t="s">
        <v>33</v>
      </c>
      <c r="D95" s="32" t="s">
        <v>34</v>
      </c>
      <c r="E95" s="33" t="e">
        <f>IF(AND(D95&lt;&gt;"",#REF!&lt;&gt; ""), SUBSTITUTE(D95, " KG", "") *#REF!, "")</f>
        <v>#REF!</v>
      </c>
      <c r="F95" s="33"/>
      <c r="G95" s="34" t="s">
        <v>35</v>
      </c>
      <c r="H95" s="33"/>
      <c r="I95" s="35" t="s">
        <v>139</v>
      </c>
      <c r="J95" s="36">
        <v>643</v>
      </c>
      <c r="K95" s="36">
        <v>1</v>
      </c>
      <c r="L95" s="37" t="s">
        <v>29</v>
      </c>
      <c r="M95" s="38">
        <v>48</v>
      </c>
      <c r="N95" s="39"/>
      <c r="O95" s="39"/>
      <c r="P95" s="40">
        <f>M95</f>
        <v>48</v>
      </c>
      <c r="Q95" s="41" t="e">
        <f>#REF!</f>
        <v>#REF!</v>
      </c>
      <c r="R95" s="42" t="e">
        <f>+Data4[[#This Row],[TOTAL CS IN (MC)]]-Data4[[#This Row],[TOTAL CS OUT (MC)]]</f>
        <v>#REF!</v>
      </c>
      <c r="S95" s="43"/>
    </row>
    <row r="96" spans="1:19" s="44" customFormat="1" ht="39.75" customHeight="1" x14ac:dyDescent="0.3">
      <c r="A96" s="45"/>
      <c r="B96" s="30" t="s">
        <v>55</v>
      </c>
      <c r="C96" s="46" t="s">
        <v>56</v>
      </c>
      <c r="D96" s="32" t="s">
        <v>34</v>
      </c>
      <c r="E96" s="33" t="e">
        <f>IF(AND(D96&lt;&gt;"",#REF!&lt;&gt; ""), SUBSTITUTE(D96, " KG", "") *#REF!, "")</f>
        <v>#REF!</v>
      </c>
      <c r="F96" s="33"/>
      <c r="G96" s="34" t="s">
        <v>35</v>
      </c>
      <c r="H96" s="33"/>
      <c r="I96" s="35" t="s">
        <v>140</v>
      </c>
      <c r="J96" s="36">
        <v>647</v>
      </c>
      <c r="K96" s="36">
        <v>1</v>
      </c>
      <c r="L96" s="37" t="s">
        <v>29</v>
      </c>
      <c r="M96" s="38">
        <v>21</v>
      </c>
      <c r="N96" s="39"/>
      <c r="O96" s="39"/>
      <c r="P96" s="40">
        <f>M96</f>
        <v>21</v>
      </c>
      <c r="Q96" s="41" t="e">
        <f>#REF!</f>
        <v>#REF!</v>
      </c>
      <c r="R96" s="42" t="e">
        <f>+Data4[[#This Row],[TOTAL CS IN (MC)]]-Data4[[#This Row],[TOTAL CS OUT (MC)]]</f>
        <v>#REF!</v>
      </c>
      <c r="S96" s="43"/>
    </row>
    <row r="97" spans="1:19" s="44" customFormat="1" ht="39.75" customHeight="1" x14ac:dyDescent="0.3">
      <c r="A97" s="45"/>
      <c r="B97" s="30" t="s">
        <v>55</v>
      </c>
      <c r="C97" s="46" t="s">
        <v>33</v>
      </c>
      <c r="D97" s="32" t="s">
        <v>34</v>
      </c>
      <c r="E97" s="33" t="e">
        <f>IF(AND(D97&lt;&gt;"",#REF!&lt;&gt; ""), SUBSTITUTE(D97, " KG", "") *#REF!, "")</f>
        <v>#REF!</v>
      </c>
      <c r="F97" s="33"/>
      <c r="G97" s="34" t="s">
        <v>39</v>
      </c>
      <c r="H97" s="33" t="s">
        <v>57</v>
      </c>
      <c r="I97" s="35" t="s">
        <v>140</v>
      </c>
      <c r="J97" s="36">
        <v>647</v>
      </c>
      <c r="K97" s="36"/>
      <c r="L97" s="37" t="s">
        <v>29</v>
      </c>
      <c r="M97" s="38">
        <v>10</v>
      </c>
      <c r="N97" s="39"/>
      <c r="O97" s="39"/>
      <c r="P97" s="40">
        <f>M97</f>
        <v>10</v>
      </c>
      <c r="Q97" s="41" t="e">
        <f>#REF!</f>
        <v>#REF!</v>
      </c>
      <c r="R97" s="42" t="e">
        <f>+Data4[[#This Row],[TOTAL CS IN (MC)]]-Data4[[#This Row],[TOTAL CS OUT (MC)]]</f>
        <v>#REF!</v>
      </c>
      <c r="S97" s="43"/>
    </row>
    <row r="98" spans="1:19" s="44" customFormat="1" ht="39.75" customHeight="1" x14ac:dyDescent="0.3">
      <c r="A98" s="45"/>
      <c r="B98" s="30" t="s">
        <v>84</v>
      </c>
      <c r="C98" s="46" t="s">
        <v>85</v>
      </c>
      <c r="D98" s="32" t="s">
        <v>34</v>
      </c>
      <c r="E98" s="33" t="e">
        <f>IF(AND(D98&lt;&gt;"",#REF!&lt;&gt; ""), SUBSTITUTE(D98, " KG", "") *#REF!, "")</f>
        <v>#REF!</v>
      </c>
      <c r="F98" s="33"/>
      <c r="G98" s="34" t="s">
        <v>39</v>
      </c>
      <c r="H98" s="33"/>
      <c r="I98" s="35" t="s">
        <v>141</v>
      </c>
      <c r="J98" s="36">
        <v>1049</v>
      </c>
      <c r="K98" s="36">
        <v>1</v>
      </c>
      <c r="L98" s="37" t="s">
        <v>29</v>
      </c>
      <c r="M98" s="38">
        <v>24</v>
      </c>
      <c r="N98" s="39"/>
      <c r="O98" s="39"/>
      <c r="P98" s="40">
        <f>M98</f>
        <v>24</v>
      </c>
      <c r="Q98" s="41" t="e">
        <f>#REF!</f>
        <v>#REF!</v>
      </c>
      <c r="R98" s="42" t="e">
        <f>+Data4[[#This Row],[TOTAL CS IN (MC)]]-Data4[[#This Row],[TOTAL CS OUT (MC)]]</f>
        <v>#REF!</v>
      </c>
      <c r="S98" s="43"/>
    </row>
    <row r="99" spans="1:19" s="44" customFormat="1" ht="39.75" customHeight="1" x14ac:dyDescent="0.3">
      <c r="A99" s="45"/>
      <c r="B99" s="30" t="s">
        <v>84</v>
      </c>
      <c r="C99" s="46" t="s">
        <v>85</v>
      </c>
      <c r="D99" s="32" t="s">
        <v>34</v>
      </c>
      <c r="E99" s="33" t="e">
        <f>IF(AND(D99&lt;&gt;"",#REF!&lt;&gt; ""), SUBSTITUTE(D99, " KG", "") *#REF!, "")</f>
        <v>#REF!</v>
      </c>
      <c r="F99" s="33"/>
      <c r="G99" s="34" t="s">
        <v>39</v>
      </c>
      <c r="H99" s="33"/>
      <c r="I99" s="35" t="s">
        <v>141</v>
      </c>
      <c r="J99" s="36">
        <v>1049</v>
      </c>
      <c r="K99" s="36"/>
      <c r="L99" s="37" t="s">
        <v>29</v>
      </c>
      <c r="M99" s="38">
        <v>12</v>
      </c>
      <c r="N99" s="39"/>
      <c r="O99" s="39"/>
      <c r="P99" s="40">
        <f>M99</f>
        <v>12</v>
      </c>
      <c r="Q99" s="41" t="e">
        <f>#REF!</f>
        <v>#REF!</v>
      </c>
      <c r="R99" s="42" t="e">
        <f>+Data4[[#This Row],[TOTAL CS IN (MC)]]-Data4[[#This Row],[TOTAL CS OUT (MC)]]</f>
        <v>#REF!</v>
      </c>
      <c r="S99" s="43"/>
    </row>
    <row r="100" spans="1:19" s="44" customFormat="1" ht="39.75" customHeight="1" x14ac:dyDescent="0.3">
      <c r="A100" s="45"/>
      <c r="B100" s="30" t="s">
        <v>84</v>
      </c>
      <c r="C100" s="46" t="s">
        <v>85</v>
      </c>
      <c r="D100" s="32" t="s">
        <v>34</v>
      </c>
      <c r="E100" s="33" t="e">
        <f>IF(AND(D100&lt;&gt;"",#REF!&lt;&gt; ""), SUBSTITUTE(D100, " KG", "") *#REF!, "")</f>
        <v>#REF!</v>
      </c>
      <c r="F100" s="33"/>
      <c r="G100" s="34" t="s">
        <v>39</v>
      </c>
      <c r="H100" s="33"/>
      <c r="I100" s="35" t="s">
        <v>142</v>
      </c>
      <c r="J100" s="36">
        <v>878</v>
      </c>
      <c r="K100" s="36">
        <v>1</v>
      </c>
      <c r="L100" s="37" t="s">
        <v>29</v>
      </c>
      <c r="M100" s="38">
        <v>20</v>
      </c>
      <c r="N100" s="39"/>
      <c r="O100" s="39"/>
      <c r="P100" s="40">
        <f>M100</f>
        <v>20</v>
      </c>
      <c r="Q100" s="41" t="e">
        <f>#REF!</f>
        <v>#REF!</v>
      </c>
      <c r="R100" s="42" t="e">
        <f>+Data4[[#This Row],[TOTAL CS IN (MC)]]-Data4[[#This Row],[TOTAL CS OUT (MC)]]</f>
        <v>#REF!</v>
      </c>
      <c r="S100" s="43"/>
    </row>
    <row r="101" spans="1:19" s="44" customFormat="1" ht="39.75" customHeight="1" x14ac:dyDescent="0.3">
      <c r="A101" s="45"/>
      <c r="B101" s="30" t="s">
        <v>84</v>
      </c>
      <c r="C101" s="46" t="s">
        <v>88</v>
      </c>
      <c r="D101" s="32" t="s">
        <v>34</v>
      </c>
      <c r="E101" s="33" t="e">
        <f>IF(AND(D101&lt;&gt;"",#REF!&lt;&gt; ""), SUBSTITUTE(D101, " KG", "") *#REF!, "")</f>
        <v>#REF!</v>
      </c>
      <c r="F101" s="33"/>
      <c r="G101" s="34" t="s">
        <v>39</v>
      </c>
      <c r="H101" s="33"/>
      <c r="I101" s="35" t="s">
        <v>143</v>
      </c>
      <c r="J101" s="36">
        <v>291</v>
      </c>
      <c r="K101" s="36">
        <v>1</v>
      </c>
      <c r="L101" s="37" t="s">
        <v>29</v>
      </c>
      <c r="M101" s="38">
        <v>48</v>
      </c>
      <c r="N101" s="39"/>
      <c r="O101" s="39"/>
      <c r="P101" s="40">
        <f>M101</f>
        <v>48</v>
      </c>
      <c r="Q101" s="41" t="e">
        <f>#REF!</f>
        <v>#REF!</v>
      </c>
      <c r="R101" s="42" t="e">
        <f>+Data4[[#This Row],[TOTAL CS IN (MC)]]-Data4[[#This Row],[TOTAL CS OUT (MC)]]</f>
        <v>#REF!</v>
      </c>
      <c r="S101" s="43"/>
    </row>
    <row r="102" spans="1:19" s="44" customFormat="1" ht="39.75" customHeight="1" x14ac:dyDescent="0.3">
      <c r="A102" s="45"/>
      <c r="B102" s="30" t="s">
        <v>101</v>
      </c>
      <c r="C102" s="46" t="s">
        <v>56</v>
      </c>
      <c r="D102" s="32" t="s">
        <v>34</v>
      </c>
      <c r="E102" s="33" t="e">
        <f>IF(AND(D102&lt;&gt;"",#REF!&lt;&gt; ""), SUBSTITUTE(D102, " KG", "") *#REF!, "")</f>
        <v>#REF!</v>
      </c>
      <c r="F102" s="33"/>
      <c r="G102" s="34" t="s">
        <v>54</v>
      </c>
      <c r="H102" s="33"/>
      <c r="I102" s="35" t="s">
        <v>144</v>
      </c>
      <c r="J102" s="36">
        <v>89</v>
      </c>
      <c r="K102" s="36">
        <v>1</v>
      </c>
      <c r="L102" s="37" t="s">
        <v>29</v>
      </c>
      <c r="M102" s="38">
        <v>28</v>
      </c>
      <c r="N102" s="39"/>
      <c r="O102" s="39"/>
      <c r="P102" s="40">
        <f>M102</f>
        <v>28</v>
      </c>
      <c r="Q102" s="41" t="e">
        <f>#REF!</f>
        <v>#REF!</v>
      </c>
      <c r="R102" s="42" t="e">
        <f>+Data4[[#This Row],[TOTAL CS IN (MC)]]-Data4[[#This Row],[TOTAL CS OUT (MC)]]</f>
        <v>#REF!</v>
      </c>
      <c r="S102" s="43"/>
    </row>
    <row r="103" spans="1:19" s="44" customFormat="1" ht="39.75" customHeight="1" x14ac:dyDescent="0.3">
      <c r="A103" s="45"/>
      <c r="B103" s="30" t="s">
        <v>60</v>
      </c>
      <c r="C103" s="46" t="s">
        <v>61</v>
      </c>
      <c r="D103" s="32" t="s">
        <v>34</v>
      </c>
      <c r="E103" s="33" t="e">
        <f>IF(AND(D103&lt;&gt;"",#REF!&lt;&gt; ""), SUBSTITUTE(D103, " KG", "") *#REF!, "")</f>
        <v>#REF!</v>
      </c>
      <c r="F103" s="33"/>
      <c r="G103" s="34" t="s">
        <v>51</v>
      </c>
      <c r="H103" s="33"/>
      <c r="I103" s="35" t="s">
        <v>145</v>
      </c>
      <c r="J103" s="36">
        <v>303</v>
      </c>
      <c r="K103" s="36">
        <v>1</v>
      </c>
      <c r="L103" s="37" t="s">
        <v>29</v>
      </c>
      <c r="M103" s="38">
        <v>56</v>
      </c>
      <c r="N103" s="39"/>
      <c r="O103" s="39"/>
      <c r="P103" s="40">
        <f>M103</f>
        <v>56</v>
      </c>
      <c r="Q103" s="41" t="e">
        <f>#REF!</f>
        <v>#REF!</v>
      </c>
      <c r="R103" s="42" t="e">
        <f>+Data4[[#This Row],[TOTAL CS IN (MC)]]-Data4[[#This Row],[TOTAL CS OUT (MC)]]</f>
        <v>#REF!</v>
      </c>
      <c r="S103" s="43"/>
    </row>
    <row r="104" spans="1:19" s="44" customFormat="1" ht="39.75" customHeight="1" x14ac:dyDescent="0.3">
      <c r="A104" s="45"/>
      <c r="B104" s="30" t="s">
        <v>55</v>
      </c>
      <c r="C104" s="46" t="s">
        <v>93</v>
      </c>
      <c r="D104" s="32" t="s">
        <v>34</v>
      </c>
      <c r="E104" s="33" t="e">
        <f>IF(AND(D104&lt;&gt;"",#REF!&lt;&gt; ""), SUBSTITUTE(D104, " KG", "") *#REF!, "")</f>
        <v>#REF!</v>
      </c>
      <c r="F104" s="33"/>
      <c r="G104" s="34" t="s">
        <v>51</v>
      </c>
      <c r="H104" s="33"/>
      <c r="I104" s="35" t="s">
        <v>146</v>
      </c>
      <c r="J104" s="36">
        <v>913</v>
      </c>
      <c r="K104" s="36">
        <v>1</v>
      </c>
      <c r="L104" s="37" t="s">
        <v>29</v>
      </c>
      <c r="M104" s="38">
        <v>35</v>
      </c>
      <c r="N104" s="39"/>
      <c r="O104" s="39"/>
      <c r="P104" s="40">
        <f>M104</f>
        <v>35</v>
      </c>
      <c r="Q104" s="41" t="e">
        <f>#REF!</f>
        <v>#REF!</v>
      </c>
      <c r="R104" s="42" t="e">
        <f>+Data4[[#This Row],[TOTAL CS IN (MC)]]-Data4[[#This Row],[TOTAL CS OUT (MC)]]</f>
        <v>#REF!</v>
      </c>
      <c r="S104" s="43"/>
    </row>
    <row r="105" spans="1:19" s="44" customFormat="1" ht="39.75" customHeight="1" x14ac:dyDescent="0.3">
      <c r="A105" s="45"/>
      <c r="B105" s="30" t="s">
        <v>55</v>
      </c>
      <c r="C105" s="46" t="s">
        <v>93</v>
      </c>
      <c r="D105" s="32" t="s">
        <v>34</v>
      </c>
      <c r="E105" s="33" t="e">
        <f>IF(AND(D105&lt;&gt;"",#REF!&lt;&gt; ""), SUBSTITUTE(D105, " KG", "") *#REF!, "")</f>
        <v>#REF!</v>
      </c>
      <c r="F105" s="33"/>
      <c r="G105" s="34" t="s">
        <v>54</v>
      </c>
      <c r="H105" s="33"/>
      <c r="I105" s="35" t="s">
        <v>146</v>
      </c>
      <c r="J105" s="36">
        <v>913</v>
      </c>
      <c r="K105" s="36"/>
      <c r="L105" s="37" t="s">
        <v>29</v>
      </c>
      <c r="M105" s="38">
        <v>2</v>
      </c>
      <c r="N105" s="39"/>
      <c r="O105" s="39"/>
      <c r="P105" s="40">
        <f>M105</f>
        <v>2</v>
      </c>
      <c r="Q105" s="41" t="e">
        <f>#REF!</f>
        <v>#REF!</v>
      </c>
      <c r="R105" s="42" t="e">
        <f>+Data4[[#This Row],[TOTAL CS IN (MC)]]-Data4[[#This Row],[TOTAL CS OUT (MC)]]</f>
        <v>#REF!</v>
      </c>
      <c r="S105" s="43"/>
    </row>
    <row r="106" spans="1:19" s="44" customFormat="1" ht="39.75" customHeight="1" x14ac:dyDescent="0.3">
      <c r="A106" s="45"/>
      <c r="B106" s="30" t="s">
        <v>132</v>
      </c>
      <c r="C106" s="46" t="s">
        <v>147</v>
      </c>
      <c r="D106" s="32" t="s">
        <v>34</v>
      </c>
      <c r="E106" s="33" t="e">
        <f>IF(AND(D106&lt;&gt;"",#REF!&lt;&gt; ""), SUBSTITUTE(D106, " KG", "") *#REF!, "")</f>
        <v>#REF!</v>
      </c>
      <c r="F106" s="33" t="s">
        <v>50</v>
      </c>
      <c r="G106" s="34"/>
      <c r="H106" s="33"/>
      <c r="I106" s="35" t="s">
        <v>148</v>
      </c>
      <c r="J106" s="36">
        <v>493</v>
      </c>
      <c r="K106" s="36">
        <v>1</v>
      </c>
      <c r="L106" s="37" t="s">
        <v>29</v>
      </c>
      <c r="M106" s="38">
        <v>48</v>
      </c>
      <c r="N106" s="39"/>
      <c r="O106" s="39"/>
      <c r="P106" s="40">
        <f>M106</f>
        <v>48</v>
      </c>
      <c r="Q106" s="41" t="e">
        <f>#REF!</f>
        <v>#REF!</v>
      </c>
      <c r="R106" s="42" t="e">
        <f>+Data4[[#This Row],[TOTAL CS IN (MC)]]-Data4[[#This Row],[TOTAL CS OUT (MC)]]</f>
        <v>#REF!</v>
      </c>
      <c r="S106" s="43"/>
    </row>
    <row r="107" spans="1:19" s="44" customFormat="1" ht="40.200000000000003" customHeight="1" x14ac:dyDescent="0.3">
      <c r="A107" s="45"/>
      <c r="B107" s="30" t="s">
        <v>149</v>
      </c>
      <c r="C107" s="46" t="s">
        <v>46</v>
      </c>
      <c r="D107" s="32" t="s">
        <v>34</v>
      </c>
      <c r="E107" s="33" t="e">
        <f>IF(AND(D107&lt;&gt;"",#REF!&lt;&gt; ""), SUBSTITUTE(D107, " KG", "") *#REF!, "")</f>
        <v>#REF!</v>
      </c>
      <c r="F107" s="33"/>
      <c r="G107" s="34" t="s">
        <v>51</v>
      </c>
      <c r="H107" s="33"/>
      <c r="I107" s="35" t="s">
        <v>150</v>
      </c>
      <c r="J107" s="36">
        <v>1146</v>
      </c>
      <c r="K107" s="36">
        <v>1</v>
      </c>
      <c r="L107" s="37" t="s">
        <v>29</v>
      </c>
      <c r="M107" s="38">
        <v>4</v>
      </c>
      <c r="N107" s="39"/>
      <c r="O107" s="39"/>
      <c r="P107" s="40">
        <f>M107</f>
        <v>4</v>
      </c>
      <c r="Q107" s="41" t="e">
        <f>#REF!</f>
        <v>#REF!</v>
      </c>
      <c r="R107" s="42" t="e">
        <f>+Data4[[#This Row],[TOTAL CS IN (MC)]]-Data4[[#This Row],[TOTAL CS OUT (MC)]]</f>
        <v>#REF!</v>
      </c>
      <c r="S107" s="43"/>
    </row>
    <row r="108" spans="1:19" s="44" customFormat="1" ht="40.200000000000003" customHeight="1" x14ac:dyDescent="0.3">
      <c r="A108" s="45"/>
      <c r="B108" s="30" t="s">
        <v>151</v>
      </c>
      <c r="C108" s="46" t="s">
        <v>123</v>
      </c>
      <c r="D108" s="32" t="s">
        <v>34</v>
      </c>
      <c r="E108" s="33" t="e">
        <f>IF(AND(D108&lt;&gt;"",#REF!&lt;&gt; ""), SUBSTITUTE(D108, " KG", "") *#REF!, "")</f>
        <v>#REF!</v>
      </c>
      <c r="F108" s="33"/>
      <c r="G108" s="34"/>
      <c r="H108" s="33"/>
      <c r="I108" s="35" t="s">
        <v>150</v>
      </c>
      <c r="J108" s="36">
        <v>1146</v>
      </c>
      <c r="K108" s="36"/>
      <c r="L108" s="37" t="s">
        <v>29</v>
      </c>
      <c r="M108" s="38">
        <v>13</v>
      </c>
      <c r="N108" s="39"/>
      <c r="O108" s="39"/>
      <c r="P108" s="40">
        <f>M108</f>
        <v>13</v>
      </c>
      <c r="Q108" s="41" t="e">
        <f>#REF!</f>
        <v>#REF!</v>
      </c>
      <c r="R108" s="42" t="e">
        <f>+Data4[[#This Row],[TOTAL CS IN (MC)]]-Data4[[#This Row],[TOTAL CS OUT (MC)]]</f>
        <v>#REF!</v>
      </c>
      <c r="S108" s="43"/>
    </row>
    <row r="109" spans="1:19" s="44" customFormat="1" ht="40.200000000000003" customHeight="1" x14ac:dyDescent="0.3">
      <c r="A109" s="45"/>
      <c r="B109" s="30" t="s">
        <v>152</v>
      </c>
      <c r="C109" s="46" t="s">
        <v>153</v>
      </c>
      <c r="D109" s="32" t="s">
        <v>34</v>
      </c>
      <c r="E109" s="33" t="e">
        <f>IF(AND(D109&lt;&gt;"",#REF!&lt;&gt; ""), SUBSTITUTE(D109, " KG", "") *#REF!, "")</f>
        <v>#REF!</v>
      </c>
      <c r="F109" s="33"/>
      <c r="G109" s="34"/>
      <c r="H109" s="33"/>
      <c r="I109" s="35" t="s">
        <v>150</v>
      </c>
      <c r="J109" s="36">
        <v>1146</v>
      </c>
      <c r="K109" s="36"/>
      <c r="L109" s="37" t="s">
        <v>29</v>
      </c>
      <c r="M109" s="38">
        <v>30</v>
      </c>
      <c r="N109" s="39"/>
      <c r="O109" s="39"/>
      <c r="P109" s="40">
        <f>M109</f>
        <v>30</v>
      </c>
      <c r="Q109" s="41" t="e">
        <f>#REF!</f>
        <v>#REF!</v>
      </c>
      <c r="R109" s="42" t="e">
        <f>+Data4[[#This Row],[TOTAL CS IN (MC)]]-Data4[[#This Row],[TOTAL CS OUT (MC)]]</f>
        <v>#REF!</v>
      </c>
      <c r="S109" s="43"/>
    </row>
    <row r="110" spans="1:19" s="44" customFormat="1" ht="40.200000000000003" customHeight="1" x14ac:dyDescent="0.3">
      <c r="A110" s="45"/>
      <c r="B110" s="30" t="s">
        <v>65</v>
      </c>
      <c r="C110" s="46" t="s">
        <v>66</v>
      </c>
      <c r="D110" s="32" t="s">
        <v>66</v>
      </c>
      <c r="E110" s="33" t="e">
        <f>IF(AND(D110&lt;&gt;"",#REF!&lt;&gt; ""), SUBSTITUTE(D110, " KG", "") *#REF!, "")</f>
        <v>#REF!</v>
      </c>
      <c r="F110" s="33"/>
      <c r="G110" s="34"/>
      <c r="H110" s="33"/>
      <c r="I110" s="35" t="s">
        <v>154</v>
      </c>
      <c r="J110" s="36">
        <v>914</v>
      </c>
      <c r="K110" s="36">
        <v>1</v>
      </c>
      <c r="L110" s="37" t="s">
        <v>29</v>
      </c>
      <c r="M110" s="38">
        <v>29</v>
      </c>
      <c r="N110" s="39"/>
      <c r="O110" s="39"/>
      <c r="P110" s="40">
        <f>M110</f>
        <v>29</v>
      </c>
      <c r="Q110" s="41" t="e">
        <f>#REF!</f>
        <v>#REF!</v>
      </c>
      <c r="R110" s="42" t="e">
        <f>+Data4[[#This Row],[TOTAL CS IN (MC)]]-Data4[[#This Row],[TOTAL CS OUT (MC)]]</f>
        <v>#REF!</v>
      </c>
      <c r="S110" s="43"/>
    </row>
    <row r="111" spans="1:19" s="44" customFormat="1" ht="40.200000000000003" customHeight="1" x14ac:dyDescent="0.3">
      <c r="A111" s="45"/>
      <c r="B111" s="30" t="s">
        <v>132</v>
      </c>
      <c r="C111" s="46" t="s">
        <v>33</v>
      </c>
      <c r="D111" s="32" t="s">
        <v>34</v>
      </c>
      <c r="E111" s="33" t="e">
        <f>IF(AND(D111&lt;&gt;"",#REF!&lt;&gt; ""), SUBSTITUTE(D111, " KG", "") *#REF!, "")</f>
        <v>#REF!</v>
      </c>
      <c r="F111" s="33" t="s">
        <v>50</v>
      </c>
      <c r="G111" s="34"/>
      <c r="H111" s="33"/>
      <c r="I111" s="35" t="s">
        <v>155</v>
      </c>
      <c r="J111" s="36">
        <v>692</v>
      </c>
      <c r="K111" s="36">
        <v>1</v>
      </c>
      <c r="L111" s="37" t="s">
        <v>29</v>
      </c>
      <c r="M111" s="38">
        <v>42</v>
      </c>
      <c r="N111" s="39"/>
      <c r="O111" s="39"/>
      <c r="P111" s="40">
        <f>M111</f>
        <v>42</v>
      </c>
      <c r="Q111" s="41" t="e">
        <f>#REF!</f>
        <v>#REF!</v>
      </c>
      <c r="R111" s="42" t="e">
        <f>+Data4[[#This Row],[TOTAL CS IN (MC)]]-Data4[[#This Row],[TOTAL CS OUT (MC)]]</f>
        <v>#REF!</v>
      </c>
      <c r="S111" s="43"/>
    </row>
    <row r="112" spans="1:19" s="44" customFormat="1" ht="40.200000000000003" customHeight="1" x14ac:dyDescent="0.3">
      <c r="A112" s="45"/>
      <c r="B112" s="30" t="s">
        <v>132</v>
      </c>
      <c r="C112" s="46" t="s">
        <v>147</v>
      </c>
      <c r="D112" s="32" t="s">
        <v>34</v>
      </c>
      <c r="E112" s="33" t="e">
        <f>IF(AND(D112&lt;&gt;"",#REF!&lt;&gt; ""), SUBSTITUTE(D112, " KG", "") *#REF!, "")</f>
        <v>#REF!</v>
      </c>
      <c r="F112" s="33" t="s">
        <v>50</v>
      </c>
      <c r="G112" s="34"/>
      <c r="H112" s="33"/>
      <c r="I112" s="35" t="s">
        <v>156</v>
      </c>
      <c r="J112" s="36">
        <v>1305</v>
      </c>
      <c r="K112" s="36">
        <v>1</v>
      </c>
      <c r="L112" s="37" t="s">
        <v>29</v>
      </c>
      <c r="M112" s="38">
        <v>48</v>
      </c>
      <c r="N112" s="39"/>
      <c r="O112" s="39"/>
      <c r="P112" s="40">
        <f>M112</f>
        <v>48</v>
      </c>
      <c r="Q112" s="41" t="e">
        <f>#REF!</f>
        <v>#REF!</v>
      </c>
      <c r="R112" s="42" t="e">
        <f>+Data4[[#This Row],[TOTAL CS IN (MC)]]-Data4[[#This Row],[TOTAL CS OUT (MC)]]</f>
        <v>#REF!</v>
      </c>
      <c r="S112" s="43"/>
    </row>
    <row r="113" spans="1:19" s="44" customFormat="1" ht="39.75" customHeight="1" x14ac:dyDescent="0.3">
      <c r="A113" s="45"/>
      <c r="B113" s="30" t="s">
        <v>32</v>
      </c>
      <c r="C113" s="46" t="s">
        <v>33</v>
      </c>
      <c r="D113" s="32" t="s">
        <v>34</v>
      </c>
      <c r="E113" s="33" t="e">
        <f>IF(AND(D113&lt;&gt;"",#REF!&lt;&gt; ""), SUBSTITUTE(D113, " KG", "") *#REF!, "")</f>
        <v>#REF!</v>
      </c>
      <c r="F113" s="33"/>
      <c r="G113" s="34" t="s">
        <v>35</v>
      </c>
      <c r="H113" s="33"/>
      <c r="I113" s="35" t="s">
        <v>157</v>
      </c>
      <c r="J113" s="36">
        <v>910</v>
      </c>
      <c r="K113" s="36">
        <v>1</v>
      </c>
      <c r="L113" s="37" t="s">
        <v>29</v>
      </c>
      <c r="M113" s="38">
        <v>48</v>
      </c>
      <c r="N113" s="39"/>
      <c r="O113" s="39"/>
      <c r="P113" s="40">
        <f>M113</f>
        <v>48</v>
      </c>
      <c r="Q113" s="41" t="e">
        <f>#REF!</f>
        <v>#REF!</v>
      </c>
      <c r="R113" s="42" t="e">
        <f>+Data4[[#This Row],[TOTAL CS IN (MC)]]-Data4[[#This Row],[TOTAL CS OUT (MC)]]</f>
        <v>#REF!</v>
      </c>
      <c r="S113" s="43"/>
    </row>
    <row r="114" spans="1:19" s="44" customFormat="1" ht="39.75" customHeight="1" x14ac:dyDescent="0.3">
      <c r="A114" s="45"/>
      <c r="B114" s="30" t="s">
        <v>32</v>
      </c>
      <c r="C114" s="46" t="s">
        <v>33</v>
      </c>
      <c r="D114" s="32" t="s">
        <v>34</v>
      </c>
      <c r="E114" s="33" t="e">
        <f>IF(AND(D114&lt;&gt;"",#REF!&lt;&gt; ""), SUBSTITUTE(D114, " KG", "") *#REF!, "")</f>
        <v>#REF!</v>
      </c>
      <c r="F114" s="33"/>
      <c r="G114" s="34" t="s">
        <v>35</v>
      </c>
      <c r="H114" s="33"/>
      <c r="I114" s="35" t="s">
        <v>158</v>
      </c>
      <c r="J114" s="36">
        <v>907</v>
      </c>
      <c r="K114" s="36">
        <v>1</v>
      </c>
      <c r="L114" s="37" t="s">
        <v>29</v>
      </c>
      <c r="M114" s="38">
        <v>48</v>
      </c>
      <c r="N114" s="39"/>
      <c r="O114" s="39"/>
      <c r="P114" s="40">
        <f>M114</f>
        <v>48</v>
      </c>
      <c r="Q114" s="41" t="e">
        <f>#REF!</f>
        <v>#REF!</v>
      </c>
      <c r="R114" s="42" t="e">
        <f>+Data4[[#This Row],[TOTAL CS IN (MC)]]-Data4[[#This Row],[TOTAL CS OUT (MC)]]</f>
        <v>#REF!</v>
      </c>
      <c r="S114" s="43"/>
    </row>
    <row r="115" spans="1:19" s="44" customFormat="1" ht="39.75" customHeight="1" x14ac:dyDescent="0.3">
      <c r="A115" s="45"/>
      <c r="B115" s="30" t="s">
        <v>133</v>
      </c>
      <c r="C115" s="46" t="s">
        <v>128</v>
      </c>
      <c r="D115" s="32" t="s">
        <v>34</v>
      </c>
      <c r="E115" s="33" t="e">
        <f>IF(AND(D115&lt;&gt;"",#REF!&lt;&gt; ""), SUBSTITUTE(D115, " KG", "") *#REF!, "")</f>
        <v>#REF!</v>
      </c>
      <c r="F115" s="33" t="s">
        <v>50</v>
      </c>
      <c r="G115" s="34"/>
      <c r="H115" s="33"/>
      <c r="I115" s="35" t="s">
        <v>159</v>
      </c>
      <c r="J115" s="36">
        <v>1262</v>
      </c>
      <c r="K115" s="36">
        <v>1</v>
      </c>
      <c r="L115" s="37" t="s">
        <v>29</v>
      </c>
      <c r="M115" s="38">
        <v>46</v>
      </c>
      <c r="N115" s="39"/>
      <c r="O115" s="39"/>
      <c r="P115" s="40">
        <f>M115</f>
        <v>46</v>
      </c>
      <c r="Q115" s="41" t="e">
        <f>#REF!</f>
        <v>#REF!</v>
      </c>
      <c r="R115" s="42" t="e">
        <f>+Data4[[#This Row],[TOTAL CS IN (MC)]]-Data4[[#This Row],[TOTAL CS OUT (MC)]]</f>
        <v>#REF!</v>
      </c>
      <c r="S115" s="43"/>
    </row>
    <row r="116" spans="1:19" s="44" customFormat="1" ht="40.200000000000003" customHeight="1" x14ac:dyDescent="0.3">
      <c r="A116" s="45"/>
      <c r="B116" s="30"/>
      <c r="C116" s="46"/>
      <c r="D116" s="33"/>
      <c r="E116" s="33" t="e">
        <f>IF(AND(D116&lt;&gt;"",#REF!&lt;&gt; ""), SUBSTITUTE(D116, " KG", "") *#REF!, "")</f>
        <v>#REF!</v>
      </c>
      <c r="F116" s="33"/>
      <c r="G116" s="34"/>
      <c r="H116" s="33"/>
      <c r="I116" s="35"/>
      <c r="J116" s="36"/>
      <c r="K116" s="36"/>
      <c r="L116" s="37"/>
      <c r="M116" s="38"/>
      <c r="N116" s="39"/>
      <c r="O116" s="39"/>
      <c r="P116" s="40">
        <f>M116</f>
        <v>0</v>
      </c>
      <c r="Q116" s="41" t="e">
        <f>#REF!</f>
        <v>#REF!</v>
      </c>
      <c r="R116" s="42" t="e">
        <f>+Data4[[#This Row],[TOTAL CS IN (MC)]]-Data4[[#This Row],[TOTAL CS OUT (MC)]]</f>
        <v>#REF!</v>
      </c>
      <c r="S116" s="43"/>
    </row>
    <row r="117" spans="1:19" s="44" customFormat="1" ht="40.200000000000003" customHeight="1" x14ac:dyDescent="0.3">
      <c r="A117" s="29" t="s">
        <v>160</v>
      </c>
      <c r="B117" s="30" t="s">
        <v>55</v>
      </c>
      <c r="C117" s="46" t="s">
        <v>56</v>
      </c>
      <c r="D117" s="32" t="s">
        <v>34</v>
      </c>
      <c r="E117" s="33" t="e">
        <f>IF(AND(D117&lt;&gt;"",#REF!&lt;&gt; ""), SUBSTITUTE(D117, " KG", "") *#REF!, "")</f>
        <v>#REF!</v>
      </c>
      <c r="F117" s="33"/>
      <c r="G117" s="34" t="s">
        <v>35</v>
      </c>
      <c r="H117" s="33"/>
      <c r="I117" s="35" t="s">
        <v>161</v>
      </c>
      <c r="J117" s="36">
        <v>116</v>
      </c>
      <c r="K117" s="36">
        <v>1</v>
      </c>
      <c r="L117" s="37" t="s">
        <v>29</v>
      </c>
      <c r="M117" s="38">
        <v>19</v>
      </c>
      <c r="N117" s="39"/>
      <c r="O117" s="39"/>
      <c r="P117" s="40">
        <f>M117</f>
        <v>19</v>
      </c>
      <c r="Q117" s="41" t="e">
        <f>#REF!</f>
        <v>#REF!</v>
      </c>
      <c r="R117" s="42" t="e">
        <f>+Data4[[#This Row],[TOTAL CS IN (MC)]]-Data4[[#This Row],[TOTAL CS OUT (MC)]]</f>
        <v>#REF!</v>
      </c>
      <c r="S117" s="43"/>
    </row>
    <row r="118" spans="1:19" s="44" customFormat="1" ht="40.200000000000003" customHeight="1" x14ac:dyDescent="0.3">
      <c r="A118" s="45"/>
      <c r="B118" s="30" t="s">
        <v>101</v>
      </c>
      <c r="C118" s="46" t="s">
        <v>33</v>
      </c>
      <c r="D118" s="32" t="s">
        <v>34</v>
      </c>
      <c r="E118" s="33" t="e">
        <f>IF(AND(D118&lt;&gt;"",#REF!&lt;&gt; ""), SUBSTITUTE(D118, " KG", "") *#REF!, "")</f>
        <v>#REF!</v>
      </c>
      <c r="F118" s="33" t="s">
        <v>50</v>
      </c>
      <c r="G118" s="34"/>
      <c r="H118" s="33"/>
      <c r="I118" s="35" t="s">
        <v>162</v>
      </c>
      <c r="J118" s="36">
        <v>653</v>
      </c>
      <c r="K118" s="36">
        <v>1</v>
      </c>
      <c r="L118" s="37" t="s">
        <v>29</v>
      </c>
      <c r="M118" s="38">
        <v>8</v>
      </c>
      <c r="N118" s="39"/>
      <c r="O118" s="39"/>
      <c r="P118" s="40">
        <f>M118</f>
        <v>8</v>
      </c>
      <c r="Q118" s="41" t="e">
        <f>#REF!</f>
        <v>#REF!</v>
      </c>
      <c r="R118" s="42" t="e">
        <f>+Data4[[#This Row],[TOTAL CS IN (MC)]]-Data4[[#This Row],[TOTAL CS OUT (MC)]]</f>
        <v>#REF!</v>
      </c>
      <c r="S118" s="43"/>
    </row>
    <row r="119" spans="1:19" s="44" customFormat="1" ht="40.200000000000003" customHeight="1" x14ac:dyDescent="0.3">
      <c r="A119" s="45"/>
      <c r="B119" s="30" t="s">
        <v>163</v>
      </c>
      <c r="C119" s="46" t="s">
        <v>33</v>
      </c>
      <c r="D119" s="32" t="s">
        <v>34</v>
      </c>
      <c r="E119" s="33" t="e">
        <f>IF(AND(D119&lt;&gt;"",#REF!&lt;&gt; ""), SUBSTITUTE(D119, " KG", "") *#REF!, "")</f>
        <v>#REF!</v>
      </c>
      <c r="F119" s="33"/>
      <c r="G119" s="34"/>
      <c r="H119" s="33" t="s">
        <v>164</v>
      </c>
      <c r="I119" s="35" t="s">
        <v>162</v>
      </c>
      <c r="J119" s="36">
        <v>653</v>
      </c>
      <c r="K119" s="36"/>
      <c r="L119" s="37" t="s">
        <v>29</v>
      </c>
      <c r="M119" s="38">
        <v>1</v>
      </c>
      <c r="N119" s="39"/>
      <c r="O119" s="39"/>
      <c r="P119" s="40">
        <f>M119</f>
        <v>1</v>
      </c>
      <c r="Q119" s="41" t="e">
        <f>#REF!</f>
        <v>#REF!</v>
      </c>
      <c r="R119" s="42" t="e">
        <f>+Data4[[#This Row],[TOTAL CS IN (MC)]]-Data4[[#This Row],[TOTAL CS OUT (MC)]]</f>
        <v>#REF!</v>
      </c>
      <c r="S119" s="43"/>
    </row>
    <row r="120" spans="1:19" s="44" customFormat="1" ht="40.200000000000003" customHeight="1" x14ac:dyDescent="0.3">
      <c r="A120" s="45"/>
      <c r="B120" s="30" t="s">
        <v>119</v>
      </c>
      <c r="C120" s="46" t="s">
        <v>165</v>
      </c>
      <c r="D120" s="32" t="s">
        <v>34</v>
      </c>
      <c r="E120" s="33" t="e">
        <f>IF(AND(D120&lt;&gt;"",#REF!&lt;&gt; ""), SUBSTITUTE(D120, " KG", "") *#REF!, "")</f>
        <v>#REF!</v>
      </c>
      <c r="F120" s="33"/>
      <c r="G120" s="34" t="s">
        <v>51</v>
      </c>
      <c r="H120" s="33"/>
      <c r="I120" s="35" t="s">
        <v>162</v>
      </c>
      <c r="J120" s="36">
        <v>653</v>
      </c>
      <c r="K120" s="36"/>
      <c r="L120" s="37" t="s">
        <v>29</v>
      </c>
      <c r="M120" s="38">
        <v>1</v>
      </c>
      <c r="N120" s="39"/>
      <c r="O120" s="39"/>
      <c r="P120" s="40">
        <f>M120</f>
        <v>1</v>
      </c>
      <c r="Q120" s="41" t="e">
        <f>#REF!</f>
        <v>#REF!</v>
      </c>
      <c r="R120" s="42" t="e">
        <f>+Data4[[#This Row],[TOTAL CS IN (MC)]]-Data4[[#This Row],[TOTAL CS OUT (MC)]]</f>
        <v>#REF!</v>
      </c>
      <c r="S120" s="43"/>
    </row>
    <row r="121" spans="1:19" s="44" customFormat="1" ht="40.200000000000003" customHeight="1" x14ac:dyDescent="0.3">
      <c r="A121" s="45"/>
      <c r="B121" s="30" t="s">
        <v>63</v>
      </c>
      <c r="C121" s="46" t="s">
        <v>61</v>
      </c>
      <c r="D121" s="32" t="s">
        <v>34</v>
      </c>
      <c r="E121" s="33" t="e">
        <f>IF(AND(D121&lt;&gt;"",#REF!&lt;&gt; ""), SUBSTITUTE(D121, " KG", "") *#REF!, "")</f>
        <v>#REF!</v>
      </c>
      <c r="F121" s="33"/>
      <c r="G121" s="34" t="s">
        <v>51</v>
      </c>
      <c r="H121" s="33"/>
      <c r="I121" s="35" t="s">
        <v>162</v>
      </c>
      <c r="J121" s="36">
        <v>653</v>
      </c>
      <c r="K121" s="36"/>
      <c r="L121" s="37" t="s">
        <v>29</v>
      </c>
      <c r="M121" s="38">
        <v>2</v>
      </c>
      <c r="N121" s="39"/>
      <c r="O121" s="39"/>
      <c r="P121" s="40">
        <f>M121</f>
        <v>2</v>
      </c>
      <c r="Q121" s="41" t="e">
        <f>#REF!</f>
        <v>#REF!</v>
      </c>
      <c r="R121" s="42" t="e">
        <f>+Data4[[#This Row],[TOTAL CS IN (MC)]]-Data4[[#This Row],[TOTAL CS OUT (MC)]]</f>
        <v>#REF!</v>
      </c>
      <c r="S121" s="43"/>
    </row>
    <row r="122" spans="1:19" s="44" customFormat="1" ht="40.200000000000003" customHeight="1" x14ac:dyDescent="0.3">
      <c r="A122" s="45"/>
      <c r="B122" s="30" t="s">
        <v>63</v>
      </c>
      <c r="C122" s="46" t="s">
        <v>93</v>
      </c>
      <c r="D122" s="32" t="s">
        <v>34</v>
      </c>
      <c r="E122" s="33" t="e">
        <f>IF(AND(D122&lt;&gt;"",#REF!&lt;&gt; ""), SUBSTITUTE(D122, " KG", "") *#REF!, "")</f>
        <v>#REF!</v>
      </c>
      <c r="F122" s="33"/>
      <c r="G122" s="34" t="s">
        <v>39</v>
      </c>
      <c r="H122" s="33"/>
      <c r="I122" s="35" t="s">
        <v>162</v>
      </c>
      <c r="J122" s="36">
        <v>653</v>
      </c>
      <c r="K122" s="36"/>
      <c r="L122" s="37" t="s">
        <v>29</v>
      </c>
      <c r="M122" s="38">
        <v>2</v>
      </c>
      <c r="N122" s="39"/>
      <c r="O122" s="39"/>
      <c r="P122" s="40">
        <f>M122</f>
        <v>2</v>
      </c>
      <c r="Q122" s="41" t="e">
        <f>#REF!</f>
        <v>#REF!</v>
      </c>
      <c r="R122" s="42" t="e">
        <f>+Data4[[#This Row],[TOTAL CS IN (MC)]]-Data4[[#This Row],[TOTAL CS OUT (MC)]]</f>
        <v>#REF!</v>
      </c>
      <c r="S122" s="43"/>
    </row>
    <row r="123" spans="1:19" s="44" customFormat="1" ht="40.200000000000003" customHeight="1" x14ac:dyDescent="0.3">
      <c r="A123" s="45"/>
      <c r="B123" s="30" t="s">
        <v>63</v>
      </c>
      <c r="C123" s="46" t="s">
        <v>93</v>
      </c>
      <c r="D123" s="32" t="s">
        <v>34</v>
      </c>
      <c r="E123" s="33" t="e">
        <f>IF(AND(D123&lt;&gt;"",#REF!&lt;&gt; ""), SUBSTITUTE(D123, " KG", "") *#REF!, "")</f>
        <v>#REF!</v>
      </c>
      <c r="F123" s="33"/>
      <c r="G123" s="34" t="s">
        <v>51</v>
      </c>
      <c r="H123" s="33"/>
      <c r="I123" s="35" t="s">
        <v>162</v>
      </c>
      <c r="J123" s="36">
        <v>653</v>
      </c>
      <c r="K123" s="36"/>
      <c r="L123" s="37" t="s">
        <v>29</v>
      </c>
      <c r="M123" s="38">
        <v>1</v>
      </c>
      <c r="N123" s="39"/>
      <c r="O123" s="39"/>
      <c r="P123" s="40">
        <f>M123</f>
        <v>1</v>
      </c>
      <c r="Q123" s="41" t="e">
        <f>#REF!</f>
        <v>#REF!</v>
      </c>
      <c r="R123" s="42" t="e">
        <f>+Data4[[#This Row],[TOTAL CS IN (MC)]]-Data4[[#This Row],[TOTAL CS OUT (MC)]]</f>
        <v>#REF!</v>
      </c>
      <c r="S123" s="43"/>
    </row>
    <row r="124" spans="1:19" s="44" customFormat="1" ht="40.200000000000003" customHeight="1" x14ac:dyDescent="0.3">
      <c r="A124" s="45"/>
      <c r="B124" s="30" t="s">
        <v>166</v>
      </c>
      <c r="C124" s="46" t="s">
        <v>56</v>
      </c>
      <c r="D124" s="32" t="s">
        <v>34</v>
      </c>
      <c r="E124" s="33" t="e">
        <f>IF(AND(D124&lt;&gt;"",#REF!&lt;&gt; ""), SUBSTITUTE(D124, " KG", "") *#REF!, "")</f>
        <v>#REF!</v>
      </c>
      <c r="F124" s="33" t="s">
        <v>50</v>
      </c>
      <c r="G124" s="34"/>
      <c r="H124" s="33"/>
      <c r="I124" s="35" t="s">
        <v>162</v>
      </c>
      <c r="J124" s="36">
        <v>653</v>
      </c>
      <c r="K124" s="36"/>
      <c r="L124" s="37" t="s">
        <v>29</v>
      </c>
      <c r="M124" s="38">
        <v>1</v>
      </c>
      <c r="N124" s="39"/>
      <c r="O124" s="39"/>
      <c r="P124" s="40">
        <f>M124</f>
        <v>1</v>
      </c>
      <c r="Q124" s="41" t="e">
        <f>#REF!</f>
        <v>#REF!</v>
      </c>
      <c r="R124" s="42" t="e">
        <f>+Data4[[#This Row],[TOTAL CS IN (MC)]]-Data4[[#This Row],[TOTAL CS OUT (MC)]]</f>
        <v>#REF!</v>
      </c>
      <c r="S124" s="43"/>
    </row>
    <row r="125" spans="1:19" s="44" customFormat="1" ht="40.200000000000003" customHeight="1" x14ac:dyDescent="0.3">
      <c r="A125" s="45"/>
      <c r="B125" s="30" t="s">
        <v>163</v>
      </c>
      <c r="C125" s="46" t="s">
        <v>33</v>
      </c>
      <c r="D125" s="32" t="s">
        <v>34</v>
      </c>
      <c r="E125" s="33" t="e">
        <f>IF(AND(D125&lt;&gt;"",#REF!&lt;&gt; ""), SUBSTITUTE(D125, " KG", "") *#REF!, "")</f>
        <v>#REF!</v>
      </c>
      <c r="F125" s="33" t="s">
        <v>50</v>
      </c>
      <c r="G125" s="34"/>
      <c r="H125" s="33"/>
      <c r="I125" s="35" t="s">
        <v>162</v>
      </c>
      <c r="J125" s="36">
        <v>653</v>
      </c>
      <c r="K125" s="36"/>
      <c r="L125" s="37" t="s">
        <v>29</v>
      </c>
      <c r="M125" s="38">
        <v>1</v>
      </c>
      <c r="N125" s="39"/>
      <c r="O125" s="39"/>
      <c r="P125" s="40">
        <f>M125</f>
        <v>1</v>
      </c>
      <c r="Q125" s="41" t="e">
        <f>#REF!</f>
        <v>#REF!</v>
      </c>
      <c r="R125" s="42" t="e">
        <f>+Data4[[#This Row],[TOTAL CS IN (MC)]]-Data4[[#This Row],[TOTAL CS OUT (MC)]]</f>
        <v>#REF!</v>
      </c>
      <c r="S125" s="43"/>
    </row>
    <row r="126" spans="1:19" s="44" customFormat="1" ht="40.200000000000003" customHeight="1" x14ac:dyDescent="0.3">
      <c r="A126" s="45"/>
      <c r="B126" s="30" t="s">
        <v>167</v>
      </c>
      <c r="C126" s="46" t="s">
        <v>168</v>
      </c>
      <c r="D126" s="32" t="s">
        <v>34</v>
      </c>
      <c r="E126" s="33" t="e">
        <f>IF(AND(D126&lt;&gt;"",#REF!&lt;&gt; ""), SUBSTITUTE(D126, " KG", "") *#REF!, "")</f>
        <v>#REF!</v>
      </c>
      <c r="F126" s="33"/>
      <c r="G126" s="34"/>
      <c r="H126" s="33"/>
      <c r="I126" s="35" t="s">
        <v>162</v>
      </c>
      <c r="J126" s="36">
        <v>653</v>
      </c>
      <c r="K126" s="36"/>
      <c r="L126" s="37" t="s">
        <v>29</v>
      </c>
      <c r="M126" s="38">
        <v>1</v>
      </c>
      <c r="N126" s="39"/>
      <c r="O126" s="39"/>
      <c r="P126" s="40">
        <f>M126</f>
        <v>1</v>
      </c>
      <c r="Q126" s="41" t="e">
        <f>#REF!</f>
        <v>#REF!</v>
      </c>
      <c r="R126" s="42" t="e">
        <f>+Data4[[#This Row],[TOTAL CS IN (MC)]]-Data4[[#This Row],[TOTAL CS OUT (MC)]]</f>
        <v>#REF!</v>
      </c>
      <c r="S126" s="43"/>
    </row>
    <row r="127" spans="1:19" s="44" customFormat="1" ht="40.200000000000003" customHeight="1" x14ac:dyDescent="0.3">
      <c r="A127" s="45"/>
      <c r="B127" s="30" t="s">
        <v>169</v>
      </c>
      <c r="C127" s="46" t="s">
        <v>46</v>
      </c>
      <c r="D127" s="32" t="s">
        <v>34</v>
      </c>
      <c r="E127" s="33" t="e">
        <f>IF(AND(D127&lt;&gt;"",#REF!&lt;&gt; ""), SUBSTITUTE(D127, " KG", "") *#REF!, "")</f>
        <v>#REF!</v>
      </c>
      <c r="F127" s="33"/>
      <c r="G127" s="34"/>
      <c r="H127" s="33"/>
      <c r="I127" s="35" t="s">
        <v>162</v>
      </c>
      <c r="J127" s="36">
        <v>653</v>
      </c>
      <c r="K127" s="36"/>
      <c r="L127" s="37" t="s">
        <v>29</v>
      </c>
      <c r="M127" s="38">
        <v>1</v>
      </c>
      <c r="N127" s="39"/>
      <c r="O127" s="39"/>
      <c r="P127" s="40">
        <f>M127</f>
        <v>1</v>
      </c>
      <c r="Q127" s="41" t="e">
        <f>#REF!</f>
        <v>#REF!</v>
      </c>
      <c r="R127" s="42" t="e">
        <f>+Data4[[#This Row],[TOTAL CS IN (MC)]]-Data4[[#This Row],[TOTAL CS OUT (MC)]]</f>
        <v>#REF!</v>
      </c>
      <c r="S127" s="43"/>
    </row>
    <row r="128" spans="1:19" s="44" customFormat="1" ht="40.200000000000003" customHeight="1" x14ac:dyDescent="0.3">
      <c r="A128" s="45"/>
      <c r="B128" s="30" t="s">
        <v>170</v>
      </c>
      <c r="C128" s="46" t="s">
        <v>46</v>
      </c>
      <c r="D128" s="32" t="s">
        <v>34</v>
      </c>
      <c r="E128" s="33" t="e">
        <f>IF(AND(D128&lt;&gt;"",#REF!&lt;&gt; ""), SUBSTITUTE(D128, " KG", "") *#REF!, "")</f>
        <v>#REF!</v>
      </c>
      <c r="F128" s="33"/>
      <c r="G128" s="34"/>
      <c r="H128" s="33"/>
      <c r="I128" s="35" t="s">
        <v>162</v>
      </c>
      <c r="J128" s="36">
        <v>653</v>
      </c>
      <c r="K128" s="36"/>
      <c r="L128" s="37" t="s">
        <v>29</v>
      </c>
      <c r="M128" s="38">
        <v>1</v>
      </c>
      <c r="N128" s="39"/>
      <c r="O128" s="39"/>
      <c r="P128" s="40">
        <f>M128</f>
        <v>1</v>
      </c>
      <c r="Q128" s="41" t="e">
        <f>#REF!</f>
        <v>#REF!</v>
      </c>
      <c r="R128" s="42" t="e">
        <f>+Data4[[#This Row],[TOTAL CS IN (MC)]]-Data4[[#This Row],[TOTAL CS OUT (MC)]]</f>
        <v>#REF!</v>
      </c>
      <c r="S128" s="43"/>
    </row>
    <row r="129" spans="1:19" s="44" customFormat="1" ht="40.200000000000003" customHeight="1" x14ac:dyDescent="0.3">
      <c r="A129" s="45"/>
      <c r="B129" s="30" t="s">
        <v>171</v>
      </c>
      <c r="C129" s="46" t="s">
        <v>85</v>
      </c>
      <c r="D129" s="32" t="s">
        <v>47</v>
      </c>
      <c r="E129" s="33" t="e">
        <f>IF(AND(D129&lt;&gt;"",#REF!&lt;&gt; ""), SUBSTITUTE(D129, " KG", "") *#REF!, "")</f>
        <v>#REF!</v>
      </c>
      <c r="F129" s="33"/>
      <c r="G129" s="34"/>
      <c r="H129" s="33"/>
      <c r="I129" s="35" t="s">
        <v>172</v>
      </c>
      <c r="J129" s="36">
        <v>286</v>
      </c>
      <c r="K129" s="36">
        <v>1</v>
      </c>
      <c r="L129" s="37" t="s">
        <v>29</v>
      </c>
      <c r="M129" s="38">
        <v>1</v>
      </c>
      <c r="N129" s="39"/>
      <c r="O129" s="39"/>
      <c r="P129" s="40">
        <f>M129</f>
        <v>1</v>
      </c>
      <c r="Q129" s="41" t="e">
        <f>#REF!</f>
        <v>#REF!</v>
      </c>
      <c r="R129" s="42" t="e">
        <f>+Data4[[#This Row],[TOTAL CS IN (MC)]]-Data4[[#This Row],[TOTAL CS OUT (MC)]]</f>
        <v>#REF!</v>
      </c>
      <c r="S129" s="43"/>
    </row>
    <row r="130" spans="1:19" s="44" customFormat="1" ht="40.200000000000003" customHeight="1" x14ac:dyDescent="0.3">
      <c r="A130" s="45"/>
      <c r="B130" s="30" t="s">
        <v>173</v>
      </c>
      <c r="C130" s="46" t="s">
        <v>88</v>
      </c>
      <c r="D130" s="32" t="s">
        <v>47</v>
      </c>
      <c r="E130" s="33" t="e">
        <f>IF(AND(D130&lt;&gt;"",#REF!&lt;&gt; ""), SUBSTITUTE(D130, " KG", "") *#REF!, "")</f>
        <v>#REF!</v>
      </c>
      <c r="F130" s="33"/>
      <c r="G130" s="34"/>
      <c r="H130" s="33"/>
      <c r="I130" s="35" t="s">
        <v>172</v>
      </c>
      <c r="J130" s="36">
        <v>286</v>
      </c>
      <c r="K130" s="36"/>
      <c r="L130" s="37" t="s">
        <v>29</v>
      </c>
      <c r="M130" s="38">
        <v>1</v>
      </c>
      <c r="N130" s="39"/>
      <c r="O130" s="39"/>
      <c r="P130" s="40">
        <f>M130</f>
        <v>1</v>
      </c>
      <c r="Q130" s="41" t="e">
        <f>#REF!</f>
        <v>#REF!</v>
      </c>
      <c r="R130" s="42" t="e">
        <f>+Data4[[#This Row],[TOTAL CS IN (MC)]]-Data4[[#This Row],[TOTAL CS OUT (MC)]]</f>
        <v>#REF!</v>
      </c>
      <c r="S130" s="43"/>
    </row>
    <row r="131" spans="1:19" s="44" customFormat="1" ht="40.200000000000003" customHeight="1" x14ac:dyDescent="0.3">
      <c r="A131" s="45"/>
      <c r="B131" s="30" t="s">
        <v>174</v>
      </c>
      <c r="C131" s="46" t="s">
        <v>33</v>
      </c>
      <c r="D131" s="32" t="s">
        <v>47</v>
      </c>
      <c r="E131" s="33" t="e">
        <f>IF(AND(D131&lt;&gt;"",#REF!&lt;&gt; ""), SUBSTITUTE(D131, " KG", "") *#REF!, "")</f>
        <v>#REF!</v>
      </c>
      <c r="F131" s="33"/>
      <c r="G131" s="34"/>
      <c r="H131" s="33"/>
      <c r="I131" s="35" t="s">
        <v>172</v>
      </c>
      <c r="J131" s="36">
        <v>286</v>
      </c>
      <c r="K131" s="36"/>
      <c r="L131" s="37" t="s">
        <v>29</v>
      </c>
      <c r="M131" s="38">
        <v>1</v>
      </c>
      <c r="N131" s="39"/>
      <c r="O131" s="39"/>
      <c r="P131" s="40">
        <f>M131</f>
        <v>1</v>
      </c>
      <c r="Q131" s="41" t="e">
        <f>#REF!</f>
        <v>#REF!</v>
      </c>
      <c r="R131" s="42" t="e">
        <f>+Data4[[#This Row],[TOTAL CS IN (MC)]]-Data4[[#This Row],[TOTAL CS OUT (MC)]]</f>
        <v>#REF!</v>
      </c>
      <c r="S131" s="43"/>
    </row>
    <row r="132" spans="1:19" s="44" customFormat="1" ht="40.200000000000003" customHeight="1" x14ac:dyDescent="0.3">
      <c r="A132" s="45"/>
      <c r="B132" s="30" t="s">
        <v>175</v>
      </c>
      <c r="C132" s="46" t="s">
        <v>85</v>
      </c>
      <c r="D132" s="32" t="s">
        <v>47</v>
      </c>
      <c r="E132" s="33" t="e">
        <f>IF(AND(D132&lt;&gt;"",#REF!&lt;&gt; ""), SUBSTITUTE(D132, " KG", "") *#REF!, "")</f>
        <v>#REF!</v>
      </c>
      <c r="F132" s="33"/>
      <c r="G132" s="34"/>
      <c r="H132" s="33"/>
      <c r="I132" s="35" t="s">
        <v>172</v>
      </c>
      <c r="J132" s="36">
        <v>286</v>
      </c>
      <c r="K132" s="36"/>
      <c r="L132" s="37" t="s">
        <v>29</v>
      </c>
      <c r="M132" s="38">
        <v>1</v>
      </c>
      <c r="N132" s="39"/>
      <c r="O132" s="39"/>
      <c r="P132" s="40">
        <f>M132</f>
        <v>1</v>
      </c>
      <c r="Q132" s="41" t="e">
        <f>#REF!</f>
        <v>#REF!</v>
      </c>
      <c r="R132" s="42" t="e">
        <f>+Data4[[#This Row],[TOTAL CS IN (MC)]]-Data4[[#This Row],[TOTAL CS OUT (MC)]]</f>
        <v>#REF!</v>
      </c>
      <c r="S132" s="43"/>
    </row>
    <row r="133" spans="1:19" s="44" customFormat="1" ht="40.200000000000003" customHeight="1" x14ac:dyDescent="0.3">
      <c r="A133" s="45"/>
      <c r="B133" s="30" t="s">
        <v>176</v>
      </c>
      <c r="C133" s="46" t="s">
        <v>85</v>
      </c>
      <c r="D133" s="32" t="s">
        <v>47</v>
      </c>
      <c r="E133" s="33" t="e">
        <f>IF(AND(D133&lt;&gt;"",#REF!&lt;&gt; ""), SUBSTITUTE(D133, " KG", "") *#REF!, "")</f>
        <v>#REF!</v>
      </c>
      <c r="F133" s="33"/>
      <c r="G133" s="34"/>
      <c r="H133" s="33"/>
      <c r="I133" s="35" t="s">
        <v>172</v>
      </c>
      <c r="J133" s="36">
        <v>286</v>
      </c>
      <c r="K133" s="36"/>
      <c r="L133" s="37" t="s">
        <v>29</v>
      </c>
      <c r="M133" s="38">
        <v>1</v>
      </c>
      <c r="N133" s="39"/>
      <c r="O133" s="39"/>
      <c r="P133" s="40">
        <f>M133</f>
        <v>1</v>
      </c>
      <c r="Q133" s="41" t="e">
        <f>#REF!</f>
        <v>#REF!</v>
      </c>
      <c r="R133" s="42" t="e">
        <f>+Data4[[#This Row],[TOTAL CS IN (MC)]]-Data4[[#This Row],[TOTAL CS OUT (MC)]]</f>
        <v>#REF!</v>
      </c>
      <c r="S133" s="43"/>
    </row>
    <row r="134" spans="1:19" s="44" customFormat="1" ht="40.200000000000003" customHeight="1" x14ac:dyDescent="0.3">
      <c r="A134" s="45"/>
      <c r="B134" s="30" t="s">
        <v>111</v>
      </c>
      <c r="C134" s="46" t="s">
        <v>88</v>
      </c>
      <c r="D134" s="32" t="s">
        <v>47</v>
      </c>
      <c r="E134" s="33" t="e">
        <f>IF(AND(D134&lt;&gt;"",#REF!&lt;&gt; ""), SUBSTITUTE(D134, " KG", "") *#REF!, "")</f>
        <v>#REF!</v>
      </c>
      <c r="F134" s="33"/>
      <c r="G134" s="34"/>
      <c r="H134" s="33"/>
      <c r="I134" s="35" t="s">
        <v>172</v>
      </c>
      <c r="J134" s="36">
        <v>286</v>
      </c>
      <c r="K134" s="36"/>
      <c r="L134" s="37" t="s">
        <v>29</v>
      </c>
      <c r="M134" s="38">
        <v>1</v>
      </c>
      <c r="N134" s="39"/>
      <c r="O134" s="39"/>
      <c r="P134" s="40">
        <f>M134</f>
        <v>1</v>
      </c>
      <c r="Q134" s="41" t="e">
        <f>#REF!</f>
        <v>#REF!</v>
      </c>
      <c r="R134" s="42" t="e">
        <f>+Data4[[#This Row],[TOTAL CS IN (MC)]]-Data4[[#This Row],[TOTAL CS OUT (MC)]]</f>
        <v>#REF!</v>
      </c>
      <c r="S134" s="43"/>
    </row>
    <row r="135" spans="1:19" s="44" customFormat="1" ht="40.200000000000003" customHeight="1" x14ac:dyDescent="0.3">
      <c r="A135" s="45"/>
      <c r="B135" s="30" t="s">
        <v>177</v>
      </c>
      <c r="C135" s="46" t="s">
        <v>88</v>
      </c>
      <c r="D135" s="32" t="s">
        <v>47</v>
      </c>
      <c r="E135" s="33" t="e">
        <f>IF(AND(D135&lt;&gt;"",#REF!&lt;&gt; ""), SUBSTITUTE(D135, " KG", "") *#REF!, "")</f>
        <v>#REF!</v>
      </c>
      <c r="F135" s="33"/>
      <c r="G135" s="34"/>
      <c r="H135" s="33"/>
      <c r="I135" s="35" t="s">
        <v>172</v>
      </c>
      <c r="J135" s="36">
        <v>286</v>
      </c>
      <c r="K135" s="36"/>
      <c r="L135" s="37" t="s">
        <v>29</v>
      </c>
      <c r="M135" s="38">
        <v>1</v>
      </c>
      <c r="N135" s="39"/>
      <c r="O135" s="39"/>
      <c r="P135" s="40">
        <f>M135</f>
        <v>1</v>
      </c>
      <c r="Q135" s="41" t="e">
        <f>#REF!</f>
        <v>#REF!</v>
      </c>
      <c r="R135" s="42" t="e">
        <f>+Data4[[#This Row],[TOTAL CS IN (MC)]]-Data4[[#This Row],[TOTAL CS OUT (MC)]]</f>
        <v>#REF!</v>
      </c>
      <c r="S135" s="43"/>
    </row>
    <row r="136" spans="1:19" s="44" customFormat="1" ht="40.200000000000003" customHeight="1" x14ac:dyDescent="0.3">
      <c r="A136" s="45"/>
      <c r="B136" s="30" t="s">
        <v>177</v>
      </c>
      <c r="C136" s="46" t="s">
        <v>33</v>
      </c>
      <c r="D136" s="32" t="s">
        <v>47</v>
      </c>
      <c r="E136" s="33" t="e">
        <f>IF(AND(D136&lt;&gt;"",#REF!&lt;&gt; ""), SUBSTITUTE(D136, " KG", "") *#REF!, "")</f>
        <v>#REF!</v>
      </c>
      <c r="F136" s="33"/>
      <c r="G136" s="34"/>
      <c r="H136" s="33"/>
      <c r="I136" s="35" t="s">
        <v>172</v>
      </c>
      <c r="J136" s="36">
        <v>286</v>
      </c>
      <c r="K136" s="36"/>
      <c r="L136" s="37" t="s">
        <v>29</v>
      </c>
      <c r="M136" s="38">
        <v>1</v>
      </c>
      <c r="N136" s="39"/>
      <c r="O136" s="39"/>
      <c r="P136" s="40">
        <f>M136</f>
        <v>1</v>
      </c>
      <c r="Q136" s="41" t="e">
        <f>#REF!</f>
        <v>#REF!</v>
      </c>
      <c r="R136" s="42" t="e">
        <f>+Data4[[#This Row],[TOTAL CS IN (MC)]]-Data4[[#This Row],[TOTAL CS OUT (MC)]]</f>
        <v>#REF!</v>
      </c>
      <c r="S136" s="43"/>
    </row>
    <row r="137" spans="1:19" s="44" customFormat="1" ht="40.200000000000003" customHeight="1" x14ac:dyDescent="0.3">
      <c r="A137" s="45"/>
      <c r="B137" s="30" t="s">
        <v>178</v>
      </c>
      <c r="C137" s="46" t="s">
        <v>88</v>
      </c>
      <c r="D137" s="32" t="s">
        <v>26</v>
      </c>
      <c r="E137" s="33" t="e">
        <f>IF(AND(D137&lt;&gt;"",#REF!&lt;&gt; ""), SUBSTITUTE(D137, " KG", "") *#REF!, "")</f>
        <v>#REF!</v>
      </c>
      <c r="F137" s="33"/>
      <c r="G137" s="34"/>
      <c r="H137" s="33"/>
      <c r="I137" s="35" t="s">
        <v>172</v>
      </c>
      <c r="J137" s="36">
        <v>286</v>
      </c>
      <c r="K137" s="36"/>
      <c r="L137" s="37" t="s">
        <v>29</v>
      </c>
      <c r="M137" s="38">
        <v>1</v>
      </c>
      <c r="N137" s="39"/>
      <c r="O137" s="39"/>
      <c r="P137" s="40">
        <f>M137</f>
        <v>1</v>
      </c>
      <c r="Q137" s="41" t="e">
        <f>#REF!</f>
        <v>#REF!</v>
      </c>
      <c r="R137" s="42" t="e">
        <f>+Data4[[#This Row],[TOTAL CS IN (MC)]]-Data4[[#This Row],[TOTAL CS OUT (MC)]]</f>
        <v>#REF!</v>
      </c>
      <c r="S137" s="43"/>
    </row>
    <row r="138" spans="1:19" s="44" customFormat="1" ht="40.200000000000003" customHeight="1" x14ac:dyDescent="0.3">
      <c r="A138" s="45"/>
      <c r="B138" s="30" t="s">
        <v>174</v>
      </c>
      <c r="C138" s="46" t="s">
        <v>118</v>
      </c>
      <c r="D138" s="32" t="s">
        <v>26</v>
      </c>
      <c r="E138" s="33" t="e">
        <f>IF(AND(D138&lt;&gt;"",#REF!&lt;&gt; ""), SUBSTITUTE(D138, " KG", "") *#REF!, "")</f>
        <v>#REF!</v>
      </c>
      <c r="F138" s="33"/>
      <c r="G138" s="34"/>
      <c r="H138" s="33"/>
      <c r="I138" s="35" t="s">
        <v>172</v>
      </c>
      <c r="J138" s="36">
        <v>286</v>
      </c>
      <c r="K138" s="36"/>
      <c r="L138" s="37" t="s">
        <v>29</v>
      </c>
      <c r="M138" s="38">
        <v>1</v>
      </c>
      <c r="N138" s="39"/>
      <c r="O138" s="39"/>
      <c r="P138" s="40">
        <f>M138</f>
        <v>1</v>
      </c>
      <c r="Q138" s="41" t="e">
        <f>#REF!</f>
        <v>#REF!</v>
      </c>
      <c r="R138" s="42" t="e">
        <f>+Data4[[#This Row],[TOTAL CS IN (MC)]]-Data4[[#This Row],[TOTAL CS OUT (MC)]]</f>
        <v>#REF!</v>
      </c>
      <c r="S138" s="43"/>
    </row>
    <row r="139" spans="1:19" s="44" customFormat="1" ht="40.200000000000003" customHeight="1" x14ac:dyDescent="0.3">
      <c r="A139" s="45"/>
      <c r="B139" s="30" t="s">
        <v>37</v>
      </c>
      <c r="C139" s="46" t="s">
        <v>38</v>
      </c>
      <c r="D139" s="32" t="s">
        <v>34</v>
      </c>
      <c r="E139" s="33" t="e">
        <f>IF(AND(D139&lt;&gt;"",#REF!&lt;&gt; ""), SUBSTITUTE(D139, " KG", "") *#REF!, "")</f>
        <v>#REF!</v>
      </c>
      <c r="F139" s="33"/>
      <c r="G139" s="34" t="s">
        <v>51</v>
      </c>
      <c r="H139" s="33"/>
      <c r="I139" s="35" t="s">
        <v>179</v>
      </c>
      <c r="J139" s="36">
        <v>1141</v>
      </c>
      <c r="K139" s="36">
        <v>1</v>
      </c>
      <c r="L139" s="37" t="s">
        <v>29</v>
      </c>
      <c r="M139" s="38">
        <v>11</v>
      </c>
      <c r="N139" s="39"/>
      <c r="O139" s="39"/>
      <c r="P139" s="40">
        <f>M139</f>
        <v>11</v>
      </c>
      <c r="Q139" s="41" t="e">
        <f>#REF!</f>
        <v>#REF!</v>
      </c>
      <c r="R139" s="42" t="e">
        <f>+Data4[[#This Row],[TOTAL CS IN (MC)]]-Data4[[#This Row],[TOTAL CS OUT (MC)]]</f>
        <v>#REF!</v>
      </c>
      <c r="S139" s="43"/>
    </row>
    <row r="140" spans="1:19" s="44" customFormat="1" ht="40.200000000000003" customHeight="1" x14ac:dyDescent="0.3">
      <c r="A140" s="45"/>
      <c r="B140" s="30" t="s">
        <v>32</v>
      </c>
      <c r="C140" s="46" t="s">
        <v>33</v>
      </c>
      <c r="D140" s="32" t="s">
        <v>34</v>
      </c>
      <c r="E140" s="33" t="e">
        <f>IF(AND(D140&lt;&gt;"",#REF!&lt;&gt; ""), SUBSTITUTE(D140, " KG", "") *#REF!, "")</f>
        <v>#REF!</v>
      </c>
      <c r="F140" s="33"/>
      <c r="G140" s="34" t="s">
        <v>35</v>
      </c>
      <c r="H140" s="33"/>
      <c r="I140" s="35" t="s">
        <v>180</v>
      </c>
      <c r="J140" s="36">
        <v>981</v>
      </c>
      <c r="K140" s="36">
        <v>1</v>
      </c>
      <c r="L140" s="37" t="s">
        <v>29</v>
      </c>
      <c r="M140" s="38">
        <v>16</v>
      </c>
      <c r="N140" s="39"/>
      <c r="O140" s="39"/>
      <c r="P140" s="40">
        <f>M140</f>
        <v>16</v>
      </c>
      <c r="Q140" s="41" t="e">
        <f>#REF!</f>
        <v>#REF!</v>
      </c>
      <c r="R140" s="42" t="e">
        <f>+Data4[[#This Row],[TOTAL CS IN (MC)]]-Data4[[#This Row],[TOTAL CS OUT (MC)]]</f>
        <v>#REF!</v>
      </c>
      <c r="S140" s="43"/>
    </row>
    <row r="141" spans="1:19" s="44" customFormat="1" ht="40.200000000000003" customHeight="1" x14ac:dyDescent="0.3">
      <c r="A141" s="45"/>
      <c r="B141" s="30" t="s">
        <v>32</v>
      </c>
      <c r="C141" s="46" t="s">
        <v>33</v>
      </c>
      <c r="D141" s="32" t="s">
        <v>34</v>
      </c>
      <c r="E141" s="33" t="e">
        <f>IF(AND(D141&lt;&gt;"",#REF!&lt;&gt; ""), SUBSTITUTE(D141, " KG", "") *#REF!, "")</f>
        <v>#REF!</v>
      </c>
      <c r="F141" s="33"/>
      <c r="G141" s="34" t="s">
        <v>39</v>
      </c>
      <c r="H141" s="33"/>
      <c r="I141" s="35" t="s">
        <v>180</v>
      </c>
      <c r="J141" s="36">
        <v>981</v>
      </c>
      <c r="K141" s="36"/>
      <c r="L141" s="37" t="s">
        <v>29</v>
      </c>
      <c r="M141" s="38">
        <v>19</v>
      </c>
      <c r="N141" s="39"/>
      <c r="O141" s="39"/>
      <c r="P141" s="40">
        <f>M141</f>
        <v>19</v>
      </c>
      <c r="Q141" s="41" t="e">
        <f>#REF!</f>
        <v>#REF!</v>
      </c>
      <c r="R141" s="42" t="e">
        <f>+Data4[[#This Row],[TOTAL CS IN (MC)]]-Data4[[#This Row],[TOTAL CS OUT (MC)]]</f>
        <v>#REF!</v>
      </c>
      <c r="S141" s="43"/>
    </row>
    <row r="142" spans="1:19" s="44" customFormat="1" ht="40.200000000000003" customHeight="1" x14ac:dyDescent="0.3">
      <c r="A142" s="45"/>
      <c r="B142" s="30" t="s">
        <v>84</v>
      </c>
      <c r="C142" s="46" t="s">
        <v>33</v>
      </c>
      <c r="D142" s="32" t="s">
        <v>34</v>
      </c>
      <c r="E142" s="33" t="e">
        <f>IF(AND(D142&lt;&gt;"",#REF!&lt;&gt; ""), SUBSTITUTE(D142, " KG", "") *#REF!, "")</f>
        <v>#REF!</v>
      </c>
      <c r="F142" s="33"/>
      <c r="G142" s="34" t="s">
        <v>39</v>
      </c>
      <c r="H142" s="33"/>
      <c r="I142" s="35" t="s">
        <v>181</v>
      </c>
      <c r="J142" s="36">
        <v>784</v>
      </c>
      <c r="K142" s="36">
        <v>1</v>
      </c>
      <c r="L142" s="37" t="s">
        <v>29</v>
      </c>
      <c r="M142" s="38">
        <v>20</v>
      </c>
      <c r="N142" s="39"/>
      <c r="O142" s="39"/>
      <c r="P142" s="40">
        <f>M142</f>
        <v>20</v>
      </c>
      <c r="Q142" s="41" t="e">
        <f>#REF!</f>
        <v>#REF!</v>
      </c>
      <c r="R142" s="42" t="e">
        <f>+Data4[[#This Row],[TOTAL CS IN (MC)]]-Data4[[#This Row],[TOTAL CS OUT (MC)]]</f>
        <v>#REF!</v>
      </c>
      <c r="S142" s="43"/>
    </row>
    <row r="143" spans="1:19" s="44" customFormat="1" ht="40.200000000000003" customHeight="1" x14ac:dyDescent="0.3">
      <c r="A143" s="45"/>
      <c r="B143" s="30" t="s">
        <v>117</v>
      </c>
      <c r="C143" s="46" t="s">
        <v>56</v>
      </c>
      <c r="D143" s="32" t="s">
        <v>34</v>
      </c>
      <c r="E143" s="33" t="e">
        <f>IF(AND(D143&lt;&gt;"",#REF!&lt;&gt; ""), SUBSTITUTE(D143, " KG", "") *#REF!, "")</f>
        <v>#REF!</v>
      </c>
      <c r="F143" s="33"/>
      <c r="G143" s="34" t="s">
        <v>39</v>
      </c>
      <c r="H143" s="33"/>
      <c r="I143" s="35" t="s">
        <v>181</v>
      </c>
      <c r="J143" s="36">
        <v>784</v>
      </c>
      <c r="K143" s="36"/>
      <c r="L143" s="37" t="s">
        <v>29</v>
      </c>
      <c r="M143" s="38">
        <v>1</v>
      </c>
      <c r="N143" s="39"/>
      <c r="O143" s="39"/>
      <c r="P143" s="40">
        <f>M143</f>
        <v>1</v>
      </c>
      <c r="Q143" s="41" t="e">
        <f>#REF!</f>
        <v>#REF!</v>
      </c>
      <c r="R143" s="42" t="e">
        <f>+Data4[[#This Row],[TOTAL CS IN (MC)]]-Data4[[#This Row],[TOTAL CS OUT (MC)]]</f>
        <v>#REF!</v>
      </c>
      <c r="S143" s="43"/>
    </row>
    <row r="144" spans="1:19" s="44" customFormat="1" ht="40.200000000000003" customHeight="1" x14ac:dyDescent="0.3">
      <c r="B144" s="30" t="s">
        <v>60</v>
      </c>
      <c r="C144" s="46" t="s">
        <v>61</v>
      </c>
      <c r="D144" s="32" t="s">
        <v>34</v>
      </c>
      <c r="E144" s="33" t="e">
        <f>IF(AND(D144&lt;&gt;"",#REF!&lt;&gt; ""), SUBSTITUTE(D144, " KG", "") *#REF!, "")</f>
        <v>#REF!</v>
      </c>
      <c r="F144" s="33"/>
      <c r="G144" s="34" t="s">
        <v>51</v>
      </c>
      <c r="H144" s="33"/>
      <c r="I144" s="35" t="s">
        <v>182</v>
      </c>
      <c r="J144" s="36">
        <v>828</v>
      </c>
      <c r="K144" s="36">
        <v>1</v>
      </c>
      <c r="L144" s="37" t="s">
        <v>29</v>
      </c>
      <c r="M144" s="38">
        <v>34</v>
      </c>
      <c r="N144" s="39"/>
      <c r="O144" s="39"/>
      <c r="P144" s="40">
        <f>M144</f>
        <v>34</v>
      </c>
      <c r="Q144" s="41" t="e">
        <f>#REF!</f>
        <v>#REF!</v>
      </c>
      <c r="R144" s="42" t="e">
        <f>+Data4[[#This Row],[TOTAL CS IN (MC)]]-Data4[[#This Row],[TOTAL CS OUT (MC)]]</f>
        <v>#REF!</v>
      </c>
      <c r="S144" s="43"/>
    </row>
    <row r="145" spans="1:19" s="44" customFormat="1" ht="40.200000000000003" customHeight="1" x14ac:dyDescent="0.3">
      <c r="B145" s="30" t="s">
        <v>84</v>
      </c>
      <c r="C145" s="46" t="s">
        <v>85</v>
      </c>
      <c r="D145" s="32" t="s">
        <v>34</v>
      </c>
      <c r="E145" s="33" t="e">
        <f>IF(AND(D145&lt;&gt;"",#REF!&lt;&gt; ""), SUBSTITUTE(D145, " KG", "") *#REF!, "")</f>
        <v>#REF!</v>
      </c>
      <c r="F145" s="33"/>
      <c r="G145" s="34" t="s">
        <v>39</v>
      </c>
      <c r="H145" s="33"/>
      <c r="I145" s="35" t="s">
        <v>183</v>
      </c>
      <c r="J145" s="36">
        <v>1029</v>
      </c>
      <c r="K145" s="36">
        <v>1</v>
      </c>
      <c r="L145" s="37" t="s">
        <v>29</v>
      </c>
      <c r="M145" s="38">
        <v>9</v>
      </c>
      <c r="N145" s="39"/>
      <c r="O145" s="39"/>
      <c r="P145" s="40">
        <f>M145</f>
        <v>9</v>
      </c>
      <c r="Q145" s="41" t="e">
        <f>#REF!</f>
        <v>#REF!</v>
      </c>
      <c r="R145" s="42" t="e">
        <f>+Data4[[#This Row],[TOTAL CS IN (MC)]]-Data4[[#This Row],[TOTAL CS OUT (MC)]]</f>
        <v>#REF!</v>
      </c>
      <c r="S145" s="43"/>
    </row>
    <row r="146" spans="1:19" s="44" customFormat="1" ht="39.75" customHeight="1" x14ac:dyDescent="0.3">
      <c r="B146" s="30" t="s">
        <v>84</v>
      </c>
      <c r="C146" s="46" t="s">
        <v>87</v>
      </c>
      <c r="D146" s="32" t="s">
        <v>34</v>
      </c>
      <c r="E146" s="33" t="e">
        <f>IF(AND(D146&lt;&gt;"",#REF!&lt;&gt; ""), SUBSTITUTE(D146, " KG", "") *#REF!, "")</f>
        <v>#REF!</v>
      </c>
      <c r="F146" s="33"/>
      <c r="G146" s="34" t="s">
        <v>39</v>
      </c>
      <c r="H146" s="33"/>
      <c r="I146" s="35" t="s">
        <v>183</v>
      </c>
      <c r="J146" s="36">
        <v>1029</v>
      </c>
      <c r="K146" s="36"/>
      <c r="L146" s="37" t="s">
        <v>29</v>
      </c>
      <c r="M146" s="38">
        <v>6</v>
      </c>
      <c r="N146" s="39"/>
      <c r="O146" s="39"/>
      <c r="P146" s="40">
        <f>M146</f>
        <v>6</v>
      </c>
      <c r="Q146" s="41" t="e">
        <f>#REF!</f>
        <v>#REF!</v>
      </c>
      <c r="R146" s="42" t="e">
        <f>+Data4[[#This Row],[TOTAL CS IN (MC)]]-Data4[[#This Row],[TOTAL CS OUT (MC)]]</f>
        <v>#REF!</v>
      </c>
      <c r="S146" s="43"/>
    </row>
    <row r="147" spans="1:19" s="44" customFormat="1" ht="40.200000000000003" customHeight="1" x14ac:dyDescent="0.3">
      <c r="B147" s="30" t="s">
        <v>111</v>
      </c>
      <c r="C147" s="46" t="s">
        <v>88</v>
      </c>
      <c r="D147" s="32" t="s">
        <v>34</v>
      </c>
      <c r="E147" s="33" t="e">
        <f>IF(AND(D147&lt;&gt;"",#REF!&lt;&gt; ""), SUBSTITUTE(D147, " KG", "") *#REF!, "")</f>
        <v>#REF!</v>
      </c>
      <c r="F147" s="33" t="s">
        <v>50</v>
      </c>
      <c r="G147" s="34"/>
      <c r="H147" s="33"/>
      <c r="I147" s="35" t="s">
        <v>184</v>
      </c>
      <c r="J147" s="36">
        <v>615</v>
      </c>
      <c r="K147" s="36">
        <v>1</v>
      </c>
      <c r="L147" s="37" t="s">
        <v>29</v>
      </c>
      <c r="M147" s="38">
        <v>46</v>
      </c>
      <c r="N147" s="39"/>
      <c r="O147" s="39"/>
      <c r="P147" s="40">
        <f>M147</f>
        <v>46</v>
      </c>
      <c r="Q147" s="41" t="e">
        <f>#REF!</f>
        <v>#REF!</v>
      </c>
      <c r="R147" s="42" t="e">
        <f>+Data4[[#This Row],[TOTAL CS IN (MC)]]-Data4[[#This Row],[TOTAL CS OUT (MC)]]</f>
        <v>#REF!</v>
      </c>
      <c r="S147" s="43"/>
    </row>
    <row r="148" spans="1:19" s="44" customFormat="1" ht="40.200000000000003" customHeight="1" x14ac:dyDescent="0.3">
      <c r="B148" s="30" t="s">
        <v>55</v>
      </c>
      <c r="C148" s="46" t="s">
        <v>185</v>
      </c>
      <c r="D148" s="32" t="s">
        <v>34</v>
      </c>
      <c r="E148" s="33" t="e">
        <f>IF(AND(D148&lt;&gt;"",#REF!&lt;&gt; ""), SUBSTITUTE(D148, " KG", "") *#REF!, "")</f>
        <v>#REF!</v>
      </c>
      <c r="F148" s="33"/>
      <c r="G148" s="34"/>
      <c r="H148" s="33" t="s">
        <v>186</v>
      </c>
      <c r="I148" s="35" t="s">
        <v>187</v>
      </c>
      <c r="J148" s="36">
        <v>421</v>
      </c>
      <c r="K148" s="36">
        <v>1</v>
      </c>
      <c r="L148" s="37" t="s">
        <v>29</v>
      </c>
      <c r="M148" s="38">
        <v>35</v>
      </c>
      <c r="N148" s="39"/>
      <c r="O148" s="39"/>
      <c r="P148" s="40">
        <f>M148</f>
        <v>35</v>
      </c>
      <c r="Q148" s="41" t="e">
        <f>#REF!</f>
        <v>#REF!</v>
      </c>
      <c r="R148" s="42" t="e">
        <f>+Data4[[#This Row],[TOTAL CS IN (MC)]]-Data4[[#This Row],[TOTAL CS OUT (MC)]]</f>
        <v>#REF!</v>
      </c>
      <c r="S148" s="43"/>
    </row>
    <row r="149" spans="1:19" s="44" customFormat="1" ht="40.200000000000003" customHeight="1" x14ac:dyDescent="0.3">
      <c r="A149" s="45"/>
      <c r="B149" s="30"/>
      <c r="C149" s="46"/>
      <c r="D149" s="32"/>
      <c r="E149" s="33" t="e">
        <f>IF(AND(D149&lt;&gt;"",#REF!&lt;&gt; ""), SUBSTITUTE(D149, " KG", "") *#REF!, "")</f>
        <v>#REF!</v>
      </c>
      <c r="F149" s="33"/>
      <c r="G149" s="34"/>
      <c r="H149" s="33"/>
      <c r="I149" s="35"/>
      <c r="J149" s="36"/>
      <c r="K149" s="36"/>
      <c r="L149" s="37"/>
      <c r="M149" s="38"/>
      <c r="N149" s="39"/>
      <c r="O149" s="39"/>
      <c r="P149" s="40">
        <f>M149</f>
        <v>0</v>
      </c>
      <c r="Q149" s="41" t="e">
        <f>#REF!</f>
        <v>#REF!</v>
      </c>
      <c r="R149" s="42" t="e">
        <f>+Data4[[#This Row],[TOTAL CS IN (MC)]]-Data4[[#This Row],[TOTAL CS OUT (MC)]]</f>
        <v>#REF!</v>
      </c>
      <c r="S149" s="43"/>
    </row>
    <row r="150" spans="1:19" s="44" customFormat="1" ht="40.200000000000003" customHeight="1" x14ac:dyDescent="0.3">
      <c r="A150" s="45"/>
      <c r="B150" s="47"/>
      <c r="C150" s="46"/>
      <c r="D150" s="32"/>
      <c r="E150" s="33" t="e">
        <f>IF(AND(D150&lt;&gt;"",#REF!&lt;&gt; ""), SUBSTITUTE(D150, " KG", "") *#REF!, "")</f>
        <v>#REF!</v>
      </c>
      <c r="F150" s="33"/>
      <c r="G150" s="34"/>
      <c r="H150" s="33"/>
      <c r="I150" s="35"/>
      <c r="J150" s="36"/>
      <c r="K150" s="36"/>
      <c r="L150" s="37"/>
      <c r="M150" s="38"/>
      <c r="N150" s="39"/>
      <c r="O150" s="39"/>
      <c r="P150" s="40">
        <f>M150</f>
        <v>0</v>
      </c>
      <c r="Q150" s="41" t="e">
        <f>#REF!</f>
        <v>#REF!</v>
      </c>
      <c r="R150" s="42" t="e">
        <f>+Data4[[#This Row],[TOTAL CS IN (MC)]]-Data4[[#This Row],[TOTAL CS OUT (MC)]]</f>
        <v>#REF!</v>
      </c>
      <c r="S150" s="43"/>
    </row>
    <row r="151" spans="1:19" s="44" customFormat="1" ht="40.200000000000003" customHeight="1" x14ac:dyDescent="0.3">
      <c r="A151" s="45"/>
      <c r="B151" s="47"/>
      <c r="C151" s="46"/>
      <c r="D151" s="32"/>
      <c r="E151" s="33" t="e">
        <f>IF(AND(D151&lt;&gt;"",#REF!&lt;&gt; ""), SUBSTITUTE(D151, " KG", "") *#REF!, "")</f>
        <v>#REF!</v>
      </c>
      <c r="F151" s="33"/>
      <c r="G151" s="34"/>
      <c r="H151" s="33"/>
      <c r="I151" s="35"/>
      <c r="J151" s="36"/>
      <c r="K151" s="36"/>
      <c r="L151" s="37"/>
      <c r="M151" s="38"/>
      <c r="N151" s="39"/>
      <c r="O151" s="39"/>
      <c r="P151" s="40">
        <f>M151</f>
        <v>0</v>
      </c>
      <c r="Q151" s="41" t="e">
        <f>#REF!</f>
        <v>#REF!</v>
      </c>
      <c r="R151" s="42" t="e">
        <f>+Data4[[#This Row],[TOTAL CS IN (MC)]]-Data4[[#This Row],[TOTAL CS OUT (MC)]]</f>
        <v>#REF!</v>
      </c>
      <c r="S151" s="43"/>
    </row>
    <row r="152" spans="1:19" s="44" customFormat="1" ht="40.200000000000003" customHeight="1" x14ac:dyDescent="0.3">
      <c r="A152" s="45"/>
      <c r="B152" s="47"/>
      <c r="C152" s="46"/>
      <c r="D152" s="32"/>
      <c r="E152" s="33" t="e">
        <f>IF(AND(D152&lt;&gt;"",#REF!&lt;&gt; ""), SUBSTITUTE(D152, " KG", "") *#REF!, "")</f>
        <v>#REF!</v>
      </c>
      <c r="F152" s="33"/>
      <c r="G152" s="34"/>
      <c r="H152" s="33"/>
      <c r="I152" s="35"/>
      <c r="J152" s="36"/>
      <c r="K152" s="36"/>
      <c r="L152" s="37"/>
      <c r="M152" s="38"/>
      <c r="N152" s="39"/>
      <c r="O152" s="39"/>
      <c r="P152" s="40">
        <f>M152</f>
        <v>0</v>
      </c>
      <c r="Q152" s="41" t="e">
        <f>#REF!</f>
        <v>#REF!</v>
      </c>
      <c r="R152" s="42" t="e">
        <f>+Data4[[#This Row],[TOTAL CS IN (MC)]]-Data4[[#This Row],[TOTAL CS OUT (MC)]]</f>
        <v>#REF!</v>
      </c>
      <c r="S152" s="43"/>
    </row>
    <row r="153" spans="1:19" s="44" customFormat="1" ht="40.200000000000003" customHeight="1" x14ac:dyDescent="0.3">
      <c r="A153" s="45"/>
      <c r="B153" s="47"/>
      <c r="C153" s="46"/>
      <c r="D153" s="32"/>
      <c r="E153" s="33" t="e">
        <f>IF(AND(D153&lt;&gt;"",#REF!&lt;&gt; ""), SUBSTITUTE(D153, " KG", "") *#REF!, "")</f>
        <v>#REF!</v>
      </c>
      <c r="F153" s="33"/>
      <c r="G153" s="34"/>
      <c r="H153" s="33"/>
      <c r="I153" s="35"/>
      <c r="J153" s="36"/>
      <c r="K153" s="36"/>
      <c r="L153" s="37"/>
      <c r="M153" s="38"/>
      <c r="N153" s="39"/>
      <c r="O153" s="39"/>
      <c r="P153" s="40">
        <f>M153</f>
        <v>0</v>
      </c>
      <c r="Q153" s="41" t="e">
        <f>#REF!</f>
        <v>#REF!</v>
      </c>
      <c r="R153" s="42" t="e">
        <f>+Data4[[#This Row],[TOTAL CS IN (MC)]]-Data4[[#This Row],[TOTAL CS OUT (MC)]]</f>
        <v>#REF!</v>
      </c>
      <c r="S153" s="43"/>
    </row>
    <row r="154" spans="1:19" s="44" customFormat="1" ht="40.200000000000003" customHeight="1" x14ac:dyDescent="0.3">
      <c r="A154" s="45"/>
      <c r="B154" s="47"/>
      <c r="C154" s="46"/>
      <c r="D154" s="32"/>
      <c r="E154" s="33" t="e">
        <f>IF(AND(D154&lt;&gt;"",#REF!&lt;&gt; ""), SUBSTITUTE(D154, " KG", "") *#REF!, "")</f>
        <v>#REF!</v>
      </c>
      <c r="F154" s="33"/>
      <c r="G154" s="34"/>
      <c r="H154" s="33"/>
      <c r="I154" s="35"/>
      <c r="J154" s="36"/>
      <c r="K154" s="36"/>
      <c r="L154" s="37"/>
      <c r="M154" s="38"/>
      <c r="N154" s="39"/>
      <c r="O154" s="39"/>
      <c r="P154" s="40">
        <f>M154</f>
        <v>0</v>
      </c>
      <c r="Q154" s="41" t="e">
        <f>#REF!</f>
        <v>#REF!</v>
      </c>
      <c r="R154" s="42" t="e">
        <f>+Data4[[#This Row],[TOTAL CS IN (MC)]]-Data4[[#This Row],[TOTAL CS OUT (MC)]]</f>
        <v>#REF!</v>
      </c>
      <c r="S154" s="43"/>
    </row>
    <row r="155" spans="1:19" s="44" customFormat="1" ht="40.200000000000003" customHeight="1" x14ac:dyDescent="0.3">
      <c r="A155" s="45"/>
      <c r="B155" s="47"/>
      <c r="C155" s="46"/>
      <c r="D155" s="32"/>
      <c r="E155" s="33" t="e">
        <f>IF(AND(D155&lt;&gt;"",#REF!&lt;&gt; ""), SUBSTITUTE(D155, " KG", "") *#REF!, "")</f>
        <v>#REF!</v>
      </c>
      <c r="F155" s="33"/>
      <c r="G155" s="34"/>
      <c r="H155" s="33"/>
      <c r="I155" s="35"/>
      <c r="J155" s="36"/>
      <c r="K155" s="36"/>
      <c r="L155" s="37"/>
      <c r="M155" s="38"/>
      <c r="N155" s="39"/>
      <c r="O155" s="39"/>
      <c r="P155" s="40">
        <f>M155</f>
        <v>0</v>
      </c>
      <c r="Q155" s="41" t="e">
        <f>#REF!</f>
        <v>#REF!</v>
      </c>
      <c r="R155" s="42" t="e">
        <f>+Data4[[#This Row],[TOTAL CS IN (MC)]]-Data4[[#This Row],[TOTAL CS OUT (MC)]]</f>
        <v>#REF!</v>
      </c>
      <c r="S155" s="43"/>
    </row>
    <row r="156" spans="1:19" s="44" customFormat="1" ht="40.200000000000003" customHeight="1" x14ac:dyDescent="0.3">
      <c r="A156" s="45"/>
      <c r="B156" s="47"/>
      <c r="C156" s="46" t="s">
        <v>188</v>
      </c>
      <c r="D156" s="32"/>
      <c r="E156" s="33" t="e">
        <f>IF(AND(D156&lt;&gt;"",#REF!&lt;&gt; ""), SUBSTITUTE(D156, " KG", "") *#REF!, "")</f>
        <v>#REF!</v>
      </c>
      <c r="F156" s="33"/>
      <c r="G156" s="34"/>
      <c r="H156" s="33"/>
      <c r="I156" s="35"/>
      <c r="J156" s="36"/>
      <c r="K156" s="36"/>
      <c r="L156" s="37"/>
      <c r="M156" s="38"/>
      <c r="N156" s="39"/>
      <c r="O156" s="39"/>
      <c r="P156" s="40">
        <f>M156</f>
        <v>0</v>
      </c>
      <c r="Q156" s="41" t="e">
        <f>#REF!</f>
        <v>#REF!</v>
      </c>
      <c r="R156" s="42" t="e">
        <f>+Data4[[#This Row],[TOTAL CS IN (MC)]]-Data4[[#This Row],[TOTAL CS OUT (MC)]]</f>
        <v>#REF!</v>
      </c>
      <c r="S156" s="43"/>
    </row>
    <row r="157" spans="1:19" s="44" customFormat="1" ht="40.200000000000003" customHeight="1" x14ac:dyDescent="0.3">
      <c r="A157" s="45"/>
      <c r="B157" s="47"/>
      <c r="C157" s="46"/>
      <c r="D157" s="32"/>
      <c r="E157" s="33" t="e">
        <f>IF(AND(D157&lt;&gt;"",#REF!&lt;&gt; ""), SUBSTITUTE(D157, " KG", "") *#REF!, "")</f>
        <v>#REF!</v>
      </c>
      <c r="F157" s="33"/>
      <c r="G157" s="34"/>
      <c r="H157" s="33"/>
      <c r="I157" s="35"/>
      <c r="J157" s="36"/>
      <c r="K157" s="36"/>
      <c r="L157" s="37"/>
      <c r="M157" s="38"/>
      <c r="N157" s="39"/>
      <c r="O157" s="39"/>
      <c r="P157" s="40">
        <f>M157</f>
        <v>0</v>
      </c>
      <c r="Q157" s="41" t="e">
        <f>#REF!</f>
        <v>#REF!</v>
      </c>
      <c r="R157" s="42" t="e">
        <f>+Data4[[#This Row],[TOTAL CS IN (MC)]]-Data4[[#This Row],[TOTAL CS OUT (MC)]]</f>
        <v>#REF!</v>
      </c>
      <c r="S157" s="43"/>
    </row>
    <row r="158" spans="1:19" s="56" customFormat="1" ht="40.200000000000003" customHeight="1" x14ac:dyDescent="0.3">
      <c r="A158" s="48"/>
      <c r="B158" s="49"/>
      <c r="C158" s="49"/>
      <c r="D158" s="49"/>
      <c r="E158" s="49" t="e">
        <f>IF(AND(D158&lt;&gt;"",#REF!&lt;&gt; ""), SUBSTITUTE(D158, " KG", "") *#REF!, "")</f>
        <v>#REF!</v>
      </c>
      <c r="F158" s="49"/>
      <c r="G158" s="50"/>
      <c r="H158" s="49"/>
      <c r="I158" s="51"/>
      <c r="J158" s="52"/>
      <c r="K158" s="52"/>
      <c r="L158" s="52"/>
      <c r="M158" s="53"/>
      <c r="N158" s="54"/>
      <c r="O158" s="54"/>
      <c r="P158" s="40">
        <f>M158</f>
        <v>0</v>
      </c>
      <c r="Q158" s="41" t="e">
        <f>#REF!</f>
        <v>#REF!</v>
      </c>
      <c r="R158" s="42" t="e">
        <f>+Data4[[#This Row],[TOTAL CS IN (MC)]]-Data4[[#This Row],[TOTAL CS OUT (MC)]]</f>
        <v>#REF!</v>
      </c>
      <c r="S158" s="55"/>
    </row>
    <row r="159" spans="1:19" ht="40.200000000000003" customHeight="1" x14ac:dyDescent="0.6">
      <c r="B159" s="49"/>
      <c r="C159" s="49"/>
      <c r="D159" s="49"/>
      <c r="E159" s="49" t="e">
        <f>IF(AND(D159&lt;&gt;"",#REF!&lt;&gt; ""), SUBSTITUTE(D159, " KG", "") *#REF!, "")</f>
        <v>#REF!</v>
      </c>
      <c r="F159" s="49"/>
      <c r="G159" s="50"/>
      <c r="H159" s="49"/>
      <c r="I159" s="51"/>
      <c r="J159" s="52"/>
      <c r="K159" s="52"/>
      <c r="L159" s="52"/>
      <c r="M159" s="53"/>
      <c r="N159" s="54"/>
      <c r="O159" s="54"/>
      <c r="P159" s="40">
        <f>M159</f>
        <v>0</v>
      </c>
      <c r="Q159" s="41" t="e">
        <f>#REF!</f>
        <v>#REF!</v>
      </c>
      <c r="R159" s="42" t="e">
        <f>+Data4[[#This Row],[TOTAL CS IN (MC)]]-Data4[[#This Row],[TOTAL CS OUT (MC)]]</f>
        <v>#REF!</v>
      </c>
      <c r="S159" s="8"/>
    </row>
    <row r="160" spans="1:19" ht="30" customHeight="1" x14ac:dyDescent="0.6">
      <c r="B160" s="64"/>
      <c r="C160" s="64"/>
      <c r="D160" s="64"/>
      <c r="E160" s="64"/>
      <c r="F160" s="64"/>
      <c r="G160" s="64"/>
      <c r="H160" s="65"/>
      <c r="I160" s="66"/>
      <c r="J160" s="67"/>
      <c r="K160" s="67"/>
      <c r="L160" s="68" t="s">
        <v>189</v>
      </c>
      <c r="M160" s="69" t="e">
        <f>SUBTOTAL(109,#REF!)</f>
        <v>#REF!</v>
      </c>
      <c r="N160" s="71"/>
      <c r="O160" s="70" t="e">
        <f>#REF!</f>
        <v>#REF!</v>
      </c>
      <c r="P160" s="72">
        <f>SUM(P4:P159)</f>
        <v>3015</v>
      </c>
      <c r="Q160" s="70" t="e">
        <f>SUM(Q4:Q159)</f>
        <v>#REF!</v>
      </c>
      <c r="R160" s="70" t="e">
        <f>SUM(R4:R159)</f>
        <v>#REF!</v>
      </c>
    </row>
    <row r="161" spans="1:18" ht="30" customHeight="1" x14ac:dyDescent="0.35">
      <c r="A161" s="9"/>
      <c r="B161" s="8"/>
      <c r="C161" s="8"/>
      <c r="D161" s="8"/>
      <c r="E161" s="8"/>
      <c r="F161" s="8"/>
      <c r="G161" s="8"/>
      <c r="H161" s="8"/>
      <c r="I161" s="57"/>
      <c r="J161" s="8"/>
      <c r="K161" s="8"/>
      <c r="L161" s="8"/>
      <c r="M161" s="8"/>
      <c r="N161" s="8"/>
      <c r="O161" s="8"/>
      <c r="P161" s="58"/>
      <c r="Q161" s="59"/>
      <c r="R161" s="19"/>
    </row>
    <row r="162" spans="1:18" ht="30" customHeight="1" x14ac:dyDescent="0.35">
      <c r="A162" s="9"/>
      <c r="G162" s="9" t="s">
        <v>190</v>
      </c>
      <c r="Q162" s="62"/>
    </row>
    <row r="163" spans="1:18" ht="30" customHeight="1" x14ac:dyDescent="0.35">
      <c r="A163" s="9"/>
      <c r="H163" s="9" t="s">
        <v>191</v>
      </c>
      <c r="J163" s="9" t="s">
        <v>192</v>
      </c>
    </row>
    <row r="164" spans="1:18" ht="30" customHeight="1" x14ac:dyDescent="0.6">
      <c r="F164" s="9" t="s">
        <v>193</v>
      </c>
    </row>
  </sheetData>
  <sheetProtection formatCells="0" formatColumns="0" formatRows="0" insertColumns="0" insertRows="0" insertHyperlinks="0" deleteColumns="0" deleteRows="0" sort="0" autoFilter="0" pivotTables="0"/>
  <conditionalFormatting sqref="G2">
    <cfRule type="cellIs" dxfId="1" priority="1" operator="equal">
      <formula>"WRONG"</formula>
    </cfRule>
    <cfRule type="cellIs" dxfId="0" priority="2" operator="equal">
      <formula>"CORRECT"</formula>
    </cfRule>
  </conditionalFormatting>
  <dataValidations count="12">
    <dataValidation allowBlank="1" showInputMessage="1" showErrorMessage="1" prompt="Enter Date in cell at right and details in table below" sqref="B2" xr:uid="{E9FF8E6D-CB0D-4F7B-ABB7-FA8E70A975E0}"/>
    <dataValidation allowBlank="1" showInputMessage="1" showErrorMessage="1" prompt="Enter Date in this cell" sqref="C2" xr:uid="{92C5CDF1-5645-4352-A776-FC0343888EB9}"/>
    <dataValidation allowBlank="1" showInputMessage="1" showErrorMessage="1" prompt="Enter Asset Name in this column under this heading. Use heading filters to find specific entries" sqref="B3" xr:uid="{EA1DE998-2FE0-4940-96E9-432632A5207A}"/>
    <dataValidation allowBlank="1" showInputMessage="1" showErrorMessage="1" prompt="Enter Asset Class in this column under this heading" sqref="C3" xr:uid="{F0AD470B-3BBC-4D1A-81B7-815718E1118B}"/>
    <dataValidation allowBlank="1" showInputMessage="1" showErrorMessage="1" prompt="Enter Physical Location in this column under this heading" sqref="G3" xr:uid="{DB212C07-02E9-4BE7-ABBF-BE6524FB606B}"/>
    <dataValidation allowBlank="1" showInputMessage="1" showErrorMessage="1" prompt="Enter Serial Number in this column under this heading" sqref="H3" xr:uid="{F6CF3741-31F4-4220-932D-69A184D19D24}"/>
    <dataValidation allowBlank="1" showInputMessage="1" showErrorMessage="1" prompt="Enter Previous Depreciation in this column under this heading" sqref="N3:O3" xr:uid="{2807F3D3-1C0D-4747-9A72-C0AA55F4B8D3}"/>
    <dataValidation allowBlank="1" showInputMessage="1" showErrorMessage="1" prompt="Enter First Year percentage in this column under this heading" sqref="Q3 I3:L3" xr:uid="{4BB2C1A2-2148-42D4-98A4-90EA699D197C}"/>
    <dataValidation allowBlank="1" showInputMessage="1" showErrorMessage="1" prompt="Depreciation amount for This Period is automatically calculated in this column under this heading" sqref="P3 R3" xr:uid="{F4189415-66DF-4575-B9C5-CE0447731841}"/>
    <dataValidation allowBlank="1" showInputMessage="1" showErrorMessage="1" prompt="Title of this worksheet is in this cell. " sqref="B1" xr:uid="{E46714AD-1B0B-41B1-AEDC-6A6382BFC0AF}"/>
    <dataValidation allowBlank="1" showInputMessage="1" showErrorMessage="1" prompt="Enter Description in this column under this heading" sqref="D3:F3" xr:uid="{92509653-4792-4BE2-AF4D-6428F275D20F}"/>
    <dataValidation allowBlank="1" showInputMessage="1" showErrorMessage="1" prompt="Enter Acquisition Date in this column under this heading" sqref="M3" xr:uid="{265C34D6-80AC-4940-8F8C-A40037731AA7}"/>
  </dataValidations>
  <printOptions horizontalCentered="1"/>
  <pageMargins left="0.4" right="0.4" top="0.4" bottom="0.4" header="0.25" footer="0.25"/>
  <pageSetup fitToHeight="0" orientation="landscape" horizontalDpi="360" verticalDpi="360" r:id="rId1"/>
  <headerFooter differentFirst="1" alignWithMargins="0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C6AF-F53F-4867-9CAB-0071BD9B6A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FORM-3-STOCKS</vt:lpstr>
      <vt:lpstr>Sheet1</vt:lpstr>
      <vt:lpstr>'FORM-3-STOCKS'!Print_Area</vt:lpstr>
      <vt:lpstr>'FORM-3-STOCKS'!Print_Titles</vt:lpstr>
      <vt:lpstr>'FORM-3-STOCKS'!RowTitleRegion1..C2</vt:lpstr>
      <vt:lpstr>'FORM-3-STOCKS'!SDSDS</vt:lpstr>
      <vt:lpstr>'FORM-3-STOCKS'!Title1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aung</dc:creator>
  <cp:lastModifiedBy>zwe khant aung</cp:lastModifiedBy>
  <dcterms:created xsi:type="dcterms:W3CDTF">2026-02-08T07:48:56Z</dcterms:created>
  <dcterms:modified xsi:type="dcterms:W3CDTF">2026-02-08T15:04:52Z</dcterms:modified>
</cp:coreProperties>
</file>